
<file path=[Content_Types].xml><?xml version="1.0" encoding="utf-8"?>
<Types xmlns="http://schemas.openxmlformats.org/package/2006/content-type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7.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8.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9.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10.xml" ContentType="application/vnd.openxmlformats-officedocument.spreadsheetml.pivotTable+xml"/>
  <Override PartName="/xl/drawings/drawing6.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202300"/>
  <mc:AlternateContent xmlns:mc="http://schemas.openxmlformats.org/markup-compatibility/2006">
    <mc:Choice Requires="x15">
      <x15ac:absPath xmlns:x15ac="http://schemas.microsoft.com/office/spreadsheetml/2010/11/ac" url="C:\Users\A\Desktop\Data Analytics Career247\Excel\Project\"/>
    </mc:Choice>
  </mc:AlternateContent>
  <xr:revisionPtr revIDLastSave="0" documentId="13_ncr:1_{5CDD0BA3-88A1-4C2F-BB8C-A7A0CF89727F}" xr6:coauthVersionLast="47" xr6:coauthVersionMax="47" xr10:uidLastSave="{00000000-0000-0000-0000-000000000000}"/>
  <bookViews>
    <workbookView xWindow="-120" yWindow="-120" windowWidth="20730" windowHeight="11160" xr2:uid="{FF6CB653-6220-46B0-810F-8784E2C55212}"/>
  </bookViews>
  <sheets>
    <sheet name="data" sheetId="1" r:id="rId1"/>
    <sheet name="Sheet1" sheetId="16" r:id="rId2"/>
    <sheet name="Dashboard" sheetId="17" r:id="rId3"/>
    <sheet name="Cloumn Chart" sheetId="6" r:id="rId4"/>
    <sheet name="Line Chart" sheetId="9" r:id="rId5"/>
    <sheet name="Pie Chart" sheetId="8" r:id="rId6"/>
    <sheet name="Combo Chart" sheetId="12" r:id="rId7"/>
    <sheet name="Hlookup" sheetId="15" r:id="rId8"/>
  </sheets>
  <definedNames>
    <definedName name="_xlnm._FilterDatabase" localSheetId="3" hidden="1">'Cloumn Chart'!$A$1:$L$188</definedName>
    <definedName name="_xlnm._FilterDatabase" localSheetId="0" hidden="1">data!$A$1:$L$188</definedName>
    <definedName name="Slicer_Continent">#N/A</definedName>
  </definedNames>
  <calcPr calcId="191029"/>
  <pivotCaches>
    <pivotCache cacheId="0" r:id="rId9"/>
    <pivotCache cacheId="1" r:id="rId10"/>
    <pivotCache cacheId="2" r:id="rId11"/>
    <pivotCache cacheId="3" r:id="rId12"/>
  </pivotCaches>
  <extLst>
    <ext xmlns:x14="http://schemas.microsoft.com/office/spreadsheetml/2009/9/main" uri="{BBE1A952-AA13-448e-AADC-164F8A28A991}">
      <x14:slicerCaches>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88" i="17" l="1" a="1"/>
  <c r="L188" i="17" s="1"/>
  <c r="K188" i="17"/>
  <c r="J188" i="17"/>
  <c r="I188" i="17"/>
  <c r="K187" i="17"/>
  <c r="J187" i="17"/>
  <c r="I187" i="17"/>
  <c r="L187" i="17" s="1" a="1"/>
  <c r="L187" i="17" s="1"/>
  <c r="K186" i="17"/>
  <c r="J186" i="17"/>
  <c r="I186" i="17"/>
  <c r="L186" i="17" s="1" a="1"/>
  <c r="L186" i="17" s="1"/>
  <c r="K185" i="17"/>
  <c r="J185" i="17"/>
  <c r="I185" i="17"/>
  <c r="L185" i="17" s="1" a="1"/>
  <c r="L185" i="17" s="1"/>
  <c r="L184" i="17" a="1"/>
  <c r="L184" i="17" s="1"/>
  <c r="K184" i="17"/>
  <c r="J184" i="17"/>
  <c r="I184" i="17"/>
  <c r="K183" i="17"/>
  <c r="J183" i="17"/>
  <c r="I183" i="17"/>
  <c r="L183" i="17" s="1" a="1"/>
  <c r="L183" i="17" s="1"/>
  <c r="L182" i="17" a="1"/>
  <c r="L182" i="17" s="1"/>
  <c r="K182" i="17"/>
  <c r="J182" i="17"/>
  <c r="I182" i="17"/>
  <c r="L181" i="17"/>
  <c r="K181" i="17"/>
  <c r="J181" i="17"/>
  <c r="I181" i="17"/>
  <c r="L181" i="17" s="1" a="1"/>
  <c r="L180" i="17" a="1"/>
  <c r="L180" i="17" s="1"/>
  <c r="K180" i="17"/>
  <c r="J180" i="17"/>
  <c r="I180" i="17"/>
  <c r="K179" i="17"/>
  <c r="J179" i="17"/>
  <c r="I179" i="17"/>
  <c r="L179" i="17" s="1" a="1"/>
  <c r="L179" i="17" s="1"/>
  <c r="L178" i="17" a="1"/>
  <c r="L178" i="17" s="1"/>
  <c r="K178" i="17"/>
  <c r="J178" i="17"/>
  <c r="I178" i="17"/>
  <c r="K177" i="17"/>
  <c r="J177" i="17"/>
  <c r="I177" i="17"/>
  <c r="L177" i="17" s="1" a="1"/>
  <c r="L177" i="17" s="1"/>
  <c r="L176" i="17" a="1"/>
  <c r="L176" i="17" s="1"/>
  <c r="K176" i="17"/>
  <c r="J176" i="17"/>
  <c r="I176" i="17"/>
  <c r="K175" i="17"/>
  <c r="J175" i="17"/>
  <c r="I175" i="17"/>
  <c r="L175" i="17" s="1" a="1"/>
  <c r="L175" i="17" s="1"/>
  <c r="L174" i="17" a="1"/>
  <c r="L174" i="17" s="1"/>
  <c r="K174" i="17"/>
  <c r="J174" i="17"/>
  <c r="I174" i="17"/>
  <c r="L173" i="17"/>
  <c r="K173" i="17"/>
  <c r="J173" i="17"/>
  <c r="I173" i="17"/>
  <c r="L173" i="17" s="1" a="1"/>
  <c r="L172" i="17" a="1"/>
  <c r="L172" i="17" s="1"/>
  <c r="K172" i="17"/>
  <c r="J172" i="17"/>
  <c r="I172" i="17"/>
  <c r="K171" i="17"/>
  <c r="J171" i="17"/>
  <c r="I171" i="17"/>
  <c r="L171" i="17" s="1" a="1"/>
  <c r="L171" i="17" s="1"/>
  <c r="L170" i="17" a="1"/>
  <c r="L170" i="17" s="1"/>
  <c r="K170" i="17"/>
  <c r="J170" i="17"/>
  <c r="I170" i="17"/>
  <c r="K169" i="17"/>
  <c r="J169" i="17"/>
  <c r="I169" i="17"/>
  <c r="L169" i="17" s="1" a="1"/>
  <c r="L169" i="17" s="1"/>
  <c r="L168" i="17" a="1"/>
  <c r="L168" i="17" s="1"/>
  <c r="K168" i="17"/>
  <c r="J168" i="17"/>
  <c r="I168" i="17"/>
  <c r="K167" i="17"/>
  <c r="J167" i="17"/>
  <c r="I167" i="17"/>
  <c r="L167" i="17" s="1" a="1"/>
  <c r="L167" i="17" s="1"/>
  <c r="L166" i="17" a="1"/>
  <c r="L166" i="17" s="1"/>
  <c r="K166" i="17"/>
  <c r="J166" i="17"/>
  <c r="I166" i="17"/>
  <c r="L165" i="17"/>
  <c r="K165" i="17"/>
  <c r="J165" i="17"/>
  <c r="I165" i="17"/>
  <c r="L165" i="17" s="1" a="1"/>
  <c r="L164" i="17" a="1"/>
  <c r="L164" i="17" s="1"/>
  <c r="K164" i="17"/>
  <c r="J164" i="17"/>
  <c r="I164" i="17"/>
  <c r="K163" i="17"/>
  <c r="J163" i="17"/>
  <c r="I163" i="17"/>
  <c r="L163" i="17" s="1" a="1"/>
  <c r="L163" i="17" s="1"/>
  <c r="L162" i="17" a="1"/>
  <c r="L162" i="17" s="1"/>
  <c r="K162" i="17"/>
  <c r="J162" i="17"/>
  <c r="I162" i="17"/>
  <c r="L161" i="17"/>
  <c r="K161" i="17"/>
  <c r="J161" i="17"/>
  <c r="I161" i="17"/>
  <c r="L161" i="17" s="1" a="1"/>
  <c r="L160" i="17" a="1"/>
  <c r="L160" i="17" s="1"/>
  <c r="K160" i="17"/>
  <c r="J160" i="17"/>
  <c r="I160" i="17"/>
  <c r="K159" i="17"/>
  <c r="J159" i="17"/>
  <c r="I159" i="17"/>
  <c r="L159" i="17" s="1" a="1"/>
  <c r="L159" i="17" s="1"/>
  <c r="L158" i="17" a="1"/>
  <c r="L158" i="17" s="1"/>
  <c r="K158" i="17"/>
  <c r="J158" i="17"/>
  <c r="I158" i="17"/>
  <c r="L157" i="17"/>
  <c r="K157" i="17"/>
  <c r="J157" i="17"/>
  <c r="I157" i="17"/>
  <c r="L157" i="17" s="1" a="1"/>
  <c r="L156" i="17" a="1"/>
  <c r="L156" i="17" s="1"/>
  <c r="K156" i="17"/>
  <c r="J156" i="17"/>
  <c r="I156" i="17"/>
  <c r="K155" i="17"/>
  <c r="J155" i="17"/>
  <c r="I155" i="17"/>
  <c r="L155" i="17" s="1" a="1"/>
  <c r="L155" i="17" s="1"/>
  <c r="L154" i="17" a="1"/>
  <c r="L154" i="17" s="1"/>
  <c r="K154" i="17"/>
  <c r="J154" i="17"/>
  <c r="I154" i="17"/>
  <c r="L153" i="17"/>
  <c r="K153" i="17"/>
  <c r="J153" i="17"/>
  <c r="I153" i="17"/>
  <c r="L153" i="17" s="1" a="1"/>
  <c r="L152" i="17" a="1"/>
  <c r="L152" i="17" s="1"/>
  <c r="K152" i="17"/>
  <c r="J152" i="17"/>
  <c r="I152" i="17"/>
  <c r="K151" i="17"/>
  <c r="J151" i="17"/>
  <c r="I151" i="17"/>
  <c r="L151" i="17" s="1" a="1"/>
  <c r="L151" i="17" s="1"/>
  <c r="L150" i="17" a="1"/>
  <c r="L150" i="17" s="1"/>
  <c r="K150" i="17"/>
  <c r="J150" i="17"/>
  <c r="I150" i="17"/>
  <c r="L149" i="17"/>
  <c r="K149" i="17"/>
  <c r="J149" i="17"/>
  <c r="I149" i="17"/>
  <c r="L149" i="17" s="1" a="1"/>
  <c r="L148" i="17" a="1"/>
  <c r="L148" i="17" s="1"/>
  <c r="K148" i="17"/>
  <c r="J148" i="17"/>
  <c r="I148" i="17"/>
  <c r="K147" i="17"/>
  <c r="J147" i="17"/>
  <c r="I147" i="17"/>
  <c r="L147" i="17" s="1" a="1"/>
  <c r="L147" i="17" s="1"/>
  <c r="L146" i="17" a="1"/>
  <c r="L146" i="17" s="1"/>
  <c r="K146" i="17"/>
  <c r="J146" i="17"/>
  <c r="I146" i="17"/>
  <c r="L145" i="17"/>
  <c r="K145" i="17"/>
  <c r="J145" i="17"/>
  <c r="I145" i="17"/>
  <c r="L145" i="17" s="1" a="1"/>
  <c r="L144" i="17" a="1"/>
  <c r="L144" i="17" s="1"/>
  <c r="K144" i="17"/>
  <c r="J144" i="17"/>
  <c r="I144" i="17"/>
  <c r="K143" i="17"/>
  <c r="J143" i="17"/>
  <c r="I143" i="17"/>
  <c r="L143" i="17" s="1" a="1"/>
  <c r="L143" i="17" s="1"/>
  <c r="L142" i="17" a="1"/>
  <c r="L142" i="17" s="1"/>
  <c r="K142" i="17"/>
  <c r="J142" i="17"/>
  <c r="I142" i="17"/>
  <c r="L141" i="17"/>
  <c r="K141" i="17"/>
  <c r="J141" i="17"/>
  <c r="I141" i="17"/>
  <c r="L141" i="17" s="1" a="1"/>
  <c r="L140" i="17" a="1"/>
  <c r="L140" i="17" s="1"/>
  <c r="K140" i="17"/>
  <c r="J140" i="17"/>
  <c r="I140" i="17"/>
  <c r="K139" i="17"/>
  <c r="J139" i="17"/>
  <c r="I139" i="17"/>
  <c r="L139" i="17" s="1" a="1"/>
  <c r="L139" i="17" s="1"/>
  <c r="L138" i="17" a="1"/>
  <c r="L138" i="17" s="1"/>
  <c r="K138" i="17"/>
  <c r="J138" i="17"/>
  <c r="I138" i="17"/>
  <c r="L137" i="17"/>
  <c r="K137" i="17"/>
  <c r="J137" i="17"/>
  <c r="I137" i="17"/>
  <c r="L137" i="17" s="1" a="1"/>
  <c r="L136" i="17" a="1"/>
  <c r="L136" i="17" s="1"/>
  <c r="K136" i="17"/>
  <c r="J136" i="17"/>
  <c r="I136" i="17"/>
  <c r="K135" i="17"/>
  <c r="J135" i="17"/>
  <c r="I135" i="17"/>
  <c r="L135" i="17" s="1" a="1"/>
  <c r="L135" i="17" s="1"/>
  <c r="L134" i="17" a="1"/>
  <c r="L134" i="17" s="1"/>
  <c r="K134" i="17"/>
  <c r="J134" i="17"/>
  <c r="I134" i="17"/>
  <c r="L133" i="17"/>
  <c r="K133" i="17"/>
  <c r="J133" i="17"/>
  <c r="I133" i="17"/>
  <c r="L133" i="17" s="1" a="1"/>
  <c r="L132" i="17" a="1"/>
  <c r="L132" i="17" s="1"/>
  <c r="K132" i="17"/>
  <c r="J132" i="17"/>
  <c r="I132" i="17"/>
  <c r="K131" i="17"/>
  <c r="J131" i="17"/>
  <c r="I131" i="17"/>
  <c r="L131" i="17" s="1" a="1"/>
  <c r="L131" i="17" s="1"/>
  <c r="L130" i="17" a="1"/>
  <c r="L130" i="17" s="1"/>
  <c r="K130" i="17"/>
  <c r="J130" i="17"/>
  <c r="I130" i="17"/>
  <c r="L129" i="17"/>
  <c r="K129" i="17"/>
  <c r="J129" i="17"/>
  <c r="I129" i="17"/>
  <c r="L129" i="17" s="1" a="1"/>
  <c r="L128" i="17" a="1"/>
  <c r="L128" i="17" s="1"/>
  <c r="K128" i="17"/>
  <c r="J128" i="17"/>
  <c r="I128" i="17"/>
  <c r="K127" i="17"/>
  <c r="J127" i="17"/>
  <c r="I127" i="17"/>
  <c r="L127" i="17" s="1" a="1"/>
  <c r="L127" i="17" s="1"/>
  <c r="L126" i="17" a="1"/>
  <c r="L126" i="17" s="1"/>
  <c r="K126" i="17"/>
  <c r="J126" i="17"/>
  <c r="I126" i="17"/>
  <c r="L125" i="17"/>
  <c r="K125" i="17"/>
  <c r="J125" i="17"/>
  <c r="I125" i="17"/>
  <c r="L125" i="17" s="1" a="1"/>
  <c r="L124" i="17" a="1"/>
  <c r="L124" i="17" s="1"/>
  <c r="K124" i="17"/>
  <c r="J124" i="17"/>
  <c r="I124" i="17"/>
  <c r="K123" i="17"/>
  <c r="J123" i="17"/>
  <c r="I123" i="17"/>
  <c r="L123" i="17" s="1" a="1"/>
  <c r="L123" i="17" s="1"/>
  <c r="L122" i="17" a="1"/>
  <c r="L122" i="17" s="1"/>
  <c r="K122" i="17"/>
  <c r="J122" i="17"/>
  <c r="I122" i="17"/>
  <c r="L121" i="17"/>
  <c r="K121" i="17"/>
  <c r="J121" i="17"/>
  <c r="I121" i="17"/>
  <c r="L121" i="17" s="1" a="1"/>
  <c r="L120" i="17" a="1"/>
  <c r="L120" i="17" s="1"/>
  <c r="K120" i="17"/>
  <c r="J120" i="17"/>
  <c r="I120" i="17"/>
  <c r="K119" i="17"/>
  <c r="J119" i="17"/>
  <c r="I119" i="17"/>
  <c r="L119" i="17" s="1" a="1"/>
  <c r="L119" i="17" s="1"/>
  <c r="L118" i="17" a="1"/>
  <c r="L118" i="17" s="1"/>
  <c r="K118" i="17"/>
  <c r="J118" i="17"/>
  <c r="I118" i="17"/>
  <c r="L117" i="17"/>
  <c r="K117" i="17"/>
  <c r="J117" i="17"/>
  <c r="I117" i="17"/>
  <c r="L117" i="17" s="1" a="1"/>
  <c r="L116" i="17" a="1"/>
  <c r="L116" i="17" s="1"/>
  <c r="K116" i="17"/>
  <c r="J116" i="17"/>
  <c r="I116" i="17"/>
  <c r="K115" i="17"/>
  <c r="J115" i="17"/>
  <c r="I115" i="17"/>
  <c r="L115" i="17" s="1" a="1"/>
  <c r="L115" i="17" s="1"/>
  <c r="L114" i="17" a="1"/>
  <c r="L114" i="17" s="1"/>
  <c r="K114" i="17"/>
  <c r="J114" i="17"/>
  <c r="I114" i="17"/>
  <c r="L113" i="17"/>
  <c r="K113" i="17"/>
  <c r="J113" i="17"/>
  <c r="I113" i="17"/>
  <c r="L113" i="17" s="1" a="1"/>
  <c r="L112" i="17" a="1"/>
  <c r="L112" i="17" s="1"/>
  <c r="K112" i="17"/>
  <c r="J112" i="17"/>
  <c r="I112" i="17"/>
  <c r="K111" i="17"/>
  <c r="J111" i="17"/>
  <c r="I111" i="17"/>
  <c r="L111" i="17" s="1" a="1"/>
  <c r="L111" i="17" s="1"/>
  <c r="L110" i="17" a="1"/>
  <c r="L110" i="17" s="1"/>
  <c r="K110" i="17"/>
  <c r="J110" i="17"/>
  <c r="I110" i="17"/>
  <c r="L109" i="17"/>
  <c r="K109" i="17"/>
  <c r="J109" i="17"/>
  <c r="I109" i="17"/>
  <c r="L109" i="17" s="1" a="1"/>
  <c r="L108" i="17" a="1"/>
  <c r="L108" i="17" s="1"/>
  <c r="K108" i="17"/>
  <c r="J108" i="17"/>
  <c r="I108" i="17"/>
  <c r="K107" i="17"/>
  <c r="J107" i="17"/>
  <c r="I107" i="17"/>
  <c r="L107" i="17" s="1" a="1"/>
  <c r="L107" i="17" s="1"/>
  <c r="L106" i="17" a="1"/>
  <c r="L106" i="17" s="1"/>
  <c r="K106" i="17"/>
  <c r="J106" i="17"/>
  <c r="I106" i="17"/>
  <c r="L105" i="17"/>
  <c r="K105" i="17"/>
  <c r="J105" i="17"/>
  <c r="I105" i="17"/>
  <c r="L105" i="17" s="1" a="1"/>
  <c r="L104" i="17" a="1"/>
  <c r="L104" i="17" s="1"/>
  <c r="K104" i="17"/>
  <c r="J104" i="17"/>
  <c r="I104" i="17"/>
  <c r="K103" i="17"/>
  <c r="J103" i="17"/>
  <c r="I103" i="17"/>
  <c r="L103" i="17" s="1" a="1"/>
  <c r="L103" i="17" s="1"/>
  <c r="L102" i="17" a="1"/>
  <c r="L102" i="17" s="1"/>
  <c r="K102" i="17"/>
  <c r="J102" i="17"/>
  <c r="I102" i="17"/>
  <c r="L101" i="17"/>
  <c r="K101" i="17"/>
  <c r="J101" i="17"/>
  <c r="I101" i="17"/>
  <c r="L101" i="17" s="1" a="1"/>
  <c r="L100" i="17" a="1"/>
  <c r="L100" i="17" s="1"/>
  <c r="K100" i="17"/>
  <c r="J100" i="17"/>
  <c r="I100" i="17"/>
  <c r="K99" i="17"/>
  <c r="J99" i="17"/>
  <c r="I99" i="17"/>
  <c r="L99" i="17" s="1" a="1"/>
  <c r="L99" i="17" s="1"/>
  <c r="L98" i="17" a="1"/>
  <c r="L98" i="17" s="1"/>
  <c r="K98" i="17"/>
  <c r="J98" i="17"/>
  <c r="I98" i="17"/>
  <c r="L97" i="17"/>
  <c r="K97" i="17"/>
  <c r="J97" i="17"/>
  <c r="I97" i="17"/>
  <c r="L97" i="17" s="1" a="1"/>
  <c r="L96" i="17" a="1"/>
  <c r="L96" i="17" s="1"/>
  <c r="K96" i="17"/>
  <c r="J96" i="17"/>
  <c r="I96" i="17"/>
  <c r="K95" i="17"/>
  <c r="J95" i="17"/>
  <c r="I95" i="17"/>
  <c r="L95" i="17" s="1" a="1"/>
  <c r="L95" i="17" s="1"/>
  <c r="L94" i="17" a="1"/>
  <c r="L94" i="17" s="1"/>
  <c r="K94" i="17"/>
  <c r="J94" i="17"/>
  <c r="I94" i="17"/>
  <c r="L93" i="17"/>
  <c r="K93" i="17"/>
  <c r="J93" i="17"/>
  <c r="I93" i="17"/>
  <c r="L93" i="17" s="1" a="1"/>
  <c r="L92" i="17" a="1"/>
  <c r="L92" i="17" s="1"/>
  <c r="K92" i="17"/>
  <c r="J92" i="17"/>
  <c r="I92" i="17"/>
  <c r="K91" i="17"/>
  <c r="J91" i="17"/>
  <c r="I91" i="17"/>
  <c r="L91" i="17" s="1" a="1"/>
  <c r="L91" i="17" s="1"/>
  <c r="L90" i="17" a="1"/>
  <c r="L90" i="17" s="1"/>
  <c r="K90" i="17"/>
  <c r="J90" i="17"/>
  <c r="I90" i="17"/>
  <c r="L89" i="17"/>
  <c r="K89" i="17"/>
  <c r="J89" i="17"/>
  <c r="I89" i="17"/>
  <c r="L89" i="17" s="1" a="1"/>
  <c r="L88" i="17" a="1"/>
  <c r="L88" i="17" s="1"/>
  <c r="K88" i="17"/>
  <c r="J88" i="17"/>
  <c r="I88" i="17"/>
  <c r="K87" i="17"/>
  <c r="J87" i="17"/>
  <c r="I87" i="17"/>
  <c r="L87" i="17" s="1" a="1"/>
  <c r="L87" i="17" s="1"/>
  <c r="L86" i="17" a="1"/>
  <c r="L86" i="17" s="1"/>
  <c r="K86" i="17"/>
  <c r="J86" i="17"/>
  <c r="I86" i="17"/>
  <c r="L85" i="17"/>
  <c r="K85" i="17"/>
  <c r="J85" i="17"/>
  <c r="I85" i="17"/>
  <c r="L85" i="17" s="1" a="1"/>
  <c r="L84" i="17" a="1"/>
  <c r="L84" i="17" s="1"/>
  <c r="K84" i="17"/>
  <c r="J84" i="17"/>
  <c r="I84" i="17"/>
  <c r="K83" i="17"/>
  <c r="J83" i="17"/>
  <c r="I83" i="17"/>
  <c r="L83" i="17" s="1" a="1"/>
  <c r="L83" i="17" s="1"/>
  <c r="L82" i="17" a="1"/>
  <c r="L82" i="17" s="1"/>
  <c r="K82" i="17"/>
  <c r="J82" i="17"/>
  <c r="I82" i="17"/>
  <c r="L81" i="17"/>
  <c r="K81" i="17"/>
  <c r="J81" i="17"/>
  <c r="I81" i="17"/>
  <c r="L81" i="17" s="1" a="1"/>
  <c r="L80" i="17" a="1"/>
  <c r="L80" i="17" s="1"/>
  <c r="K80" i="17"/>
  <c r="J80" i="17"/>
  <c r="I80" i="17"/>
  <c r="K79" i="17"/>
  <c r="J79" i="17"/>
  <c r="I79" i="17"/>
  <c r="L79" i="17" s="1" a="1"/>
  <c r="L79" i="17" s="1"/>
  <c r="L78" i="17" a="1"/>
  <c r="L78" i="17" s="1"/>
  <c r="K78" i="17"/>
  <c r="J78" i="17"/>
  <c r="I78" i="17"/>
  <c r="L77" i="17"/>
  <c r="K77" i="17"/>
  <c r="J77" i="17"/>
  <c r="I77" i="17"/>
  <c r="L77" i="17" s="1" a="1"/>
  <c r="L76" i="17" a="1"/>
  <c r="L76" i="17" s="1"/>
  <c r="K76" i="17"/>
  <c r="J76" i="17"/>
  <c r="I76" i="17"/>
  <c r="K75" i="17"/>
  <c r="J75" i="17"/>
  <c r="I75" i="17"/>
  <c r="L75" i="17" s="1" a="1"/>
  <c r="L75" i="17" s="1"/>
  <c r="L74" i="17" a="1"/>
  <c r="L74" i="17" s="1"/>
  <c r="K74" i="17"/>
  <c r="J74" i="17"/>
  <c r="I74" i="17"/>
  <c r="L73" i="17"/>
  <c r="K73" i="17"/>
  <c r="J73" i="17"/>
  <c r="I73" i="17"/>
  <c r="L73" i="17" s="1" a="1"/>
  <c r="L72" i="17" a="1"/>
  <c r="L72" i="17" s="1"/>
  <c r="K72" i="17"/>
  <c r="J72" i="17"/>
  <c r="I72" i="17"/>
  <c r="K71" i="17"/>
  <c r="J71" i="17"/>
  <c r="I71" i="17"/>
  <c r="L71" i="17" s="1" a="1"/>
  <c r="L71" i="17" s="1"/>
  <c r="L70" i="17" a="1"/>
  <c r="L70" i="17" s="1"/>
  <c r="K70" i="17"/>
  <c r="J70" i="17"/>
  <c r="I70" i="17"/>
  <c r="L69" i="17"/>
  <c r="K69" i="17"/>
  <c r="J69" i="17"/>
  <c r="I69" i="17"/>
  <c r="L69" i="17" s="1" a="1"/>
  <c r="L68" i="17" a="1"/>
  <c r="L68" i="17" s="1"/>
  <c r="K68" i="17"/>
  <c r="J68" i="17"/>
  <c r="I68" i="17"/>
  <c r="K67" i="17"/>
  <c r="J67" i="17"/>
  <c r="I67" i="17"/>
  <c r="L67" i="17" s="1" a="1"/>
  <c r="L67" i="17" s="1"/>
  <c r="L66" i="17" a="1"/>
  <c r="L66" i="17" s="1"/>
  <c r="K66" i="17"/>
  <c r="J66" i="17"/>
  <c r="I66" i="17"/>
  <c r="L65" i="17"/>
  <c r="K65" i="17"/>
  <c r="J65" i="17"/>
  <c r="I65" i="17"/>
  <c r="L65" i="17" s="1" a="1"/>
  <c r="L64" i="17" a="1"/>
  <c r="L64" i="17" s="1"/>
  <c r="K64" i="17"/>
  <c r="J64" i="17"/>
  <c r="I64" i="17"/>
  <c r="K63" i="17"/>
  <c r="J63" i="17"/>
  <c r="I63" i="17"/>
  <c r="L63" i="17" s="1" a="1"/>
  <c r="L63" i="17" s="1"/>
  <c r="L62" i="17" a="1"/>
  <c r="L62" i="17" s="1"/>
  <c r="K62" i="17"/>
  <c r="J62" i="17"/>
  <c r="I62" i="17"/>
  <c r="L61" i="17"/>
  <c r="K61" i="17"/>
  <c r="J61" i="17"/>
  <c r="I61" i="17"/>
  <c r="L61" i="17" s="1" a="1"/>
  <c r="L60" i="17" a="1"/>
  <c r="L60" i="17" s="1"/>
  <c r="K60" i="17"/>
  <c r="J60" i="17"/>
  <c r="I60" i="17"/>
  <c r="K59" i="17"/>
  <c r="J59" i="17"/>
  <c r="I59" i="17"/>
  <c r="L59" i="17" s="1" a="1"/>
  <c r="L59" i="17" s="1"/>
  <c r="L58" i="17" a="1"/>
  <c r="L58" i="17" s="1"/>
  <c r="K58" i="17"/>
  <c r="J58" i="17"/>
  <c r="I58" i="17"/>
  <c r="L57" i="17"/>
  <c r="K57" i="17"/>
  <c r="J57" i="17"/>
  <c r="I57" i="17"/>
  <c r="L57" i="17" s="1" a="1"/>
  <c r="L56" i="17" a="1"/>
  <c r="L56" i="17" s="1"/>
  <c r="K56" i="17"/>
  <c r="J56" i="17"/>
  <c r="I56" i="17"/>
  <c r="K55" i="17"/>
  <c r="J55" i="17"/>
  <c r="I55" i="17"/>
  <c r="L55" i="17" s="1" a="1"/>
  <c r="L55" i="17" s="1"/>
  <c r="L54" i="17" a="1"/>
  <c r="L54" i="17" s="1"/>
  <c r="K54" i="17"/>
  <c r="J54" i="17"/>
  <c r="I54" i="17"/>
  <c r="L53" i="17"/>
  <c r="K53" i="17"/>
  <c r="J53" i="17"/>
  <c r="I53" i="17"/>
  <c r="L53" i="17" s="1" a="1"/>
  <c r="L52" i="17" a="1"/>
  <c r="L52" i="17" s="1"/>
  <c r="K52" i="17"/>
  <c r="J52" i="17"/>
  <c r="I52" i="17"/>
  <c r="K51" i="17"/>
  <c r="J51" i="17"/>
  <c r="I51" i="17"/>
  <c r="L51" i="17" s="1" a="1"/>
  <c r="L51" i="17" s="1"/>
  <c r="L50" i="17" a="1"/>
  <c r="L50" i="17" s="1"/>
  <c r="K50" i="17"/>
  <c r="J50" i="17"/>
  <c r="I50" i="17"/>
  <c r="L49" i="17"/>
  <c r="K49" i="17"/>
  <c r="J49" i="17"/>
  <c r="I49" i="17"/>
  <c r="L49" i="17" s="1" a="1"/>
  <c r="L48" i="17" a="1"/>
  <c r="L48" i="17" s="1"/>
  <c r="K48" i="17"/>
  <c r="J48" i="17"/>
  <c r="I48" i="17"/>
  <c r="K47" i="17"/>
  <c r="J47" i="17"/>
  <c r="I47" i="17"/>
  <c r="L47" i="17" s="1" a="1"/>
  <c r="L47" i="17" s="1"/>
  <c r="L46" i="17" a="1"/>
  <c r="L46" i="17" s="1"/>
  <c r="K46" i="17"/>
  <c r="J46" i="17"/>
  <c r="I46" i="17"/>
  <c r="L45" i="17"/>
  <c r="K45" i="17"/>
  <c r="J45" i="17"/>
  <c r="I45" i="17"/>
  <c r="L45" i="17" s="1" a="1"/>
  <c r="L44" i="17" a="1"/>
  <c r="L44" i="17" s="1"/>
  <c r="K44" i="17"/>
  <c r="J44" i="17"/>
  <c r="I44" i="17"/>
  <c r="K43" i="17"/>
  <c r="J43" i="17"/>
  <c r="I43" i="17"/>
  <c r="L43" i="17" s="1" a="1"/>
  <c r="L43" i="17" s="1"/>
  <c r="L42" i="17" a="1"/>
  <c r="L42" i="17" s="1"/>
  <c r="K42" i="17"/>
  <c r="J42" i="17"/>
  <c r="I42" i="17"/>
  <c r="L41" i="17"/>
  <c r="K41" i="17"/>
  <c r="J41" i="17"/>
  <c r="I41" i="17"/>
  <c r="L41" i="17" s="1" a="1"/>
  <c r="L40" i="17" a="1"/>
  <c r="L40" i="17" s="1"/>
  <c r="K40" i="17"/>
  <c r="J40" i="17"/>
  <c r="I40" i="17"/>
  <c r="K39" i="17"/>
  <c r="J39" i="17"/>
  <c r="I39" i="17"/>
  <c r="L39" i="17" s="1" a="1"/>
  <c r="L39" i="17" s="1"/>
  <c r="L38" i="17" a="1"/>
  <c r="L38" i="17" s="1"/>
  <c r="K38" i="17"/>
  <c r="J38" i="17"/>
  <c r="I38" i="17"/>
  <c r="L37" i="17"/>
  <c r="K37" i="17"/>
  <c r="J37" i="17"/>
  <c r="I37" i="17"/>
  <c r="L37" i="17" s="1" a="1"/>
  <c r="L36" i="17" a="1"/>
  <c r="L36" i="17" s="1"/>
  <c r="K36" i="17"/>
  <c r="J36" i="17"/>
  <c r="I36" i="17"/>
  <c r="K35" i="17"/>
  <c r="J35" i="17"/>
  <c r="I35" i="17"/>
  <c r="L35" i="17" s="1" a="1"/>
  <c r="L35" i="17" s="1"/>
  <c r="L34" i="17" a="1"/>
  <c r="L34" i="17" s="1"/>
  <c r="K34" i="17"/>
  <c r="J34" i="17"/>
  <c r="I34" i="17"/>
  <c r="L33" i="17"/>
  <c r="K33" i="17"/>
  <c r="J33" i="17"/>
  <c r="I33" i="17"/>
  <c r="L33" i="17" s="1" a="1"/>
  <c r="L32" i="17" a="1"/>
  <c r="L32" i="17" s="1"/>
  <c r="K32" i="17"/>
  <c r="J32" i="17"/>
  <c r="I32" i="17"/>
  <c r="K31" i="17"/>
  <c r="J31" i="17"/>
  <c r="I31" i="17"/>
  <c r="L31" i="17" s="1" a="1"/>
  <c r="L31" i="17" s="1"/>
  <c r="L30" i="17" a="1"/>
  <c r="L30" i="17" s="1"/>
  <c r="K30" i="17"/>
  <c r="J30" i="17"/>
  <c r="I30" i="17"/>
  <c r="L29" i="17"/>
  <c r="K29" i="17"/>
  <c r="J29" i="17"/>
  <c r="I29" i="17"/>
  <c r="L29" i="17" s="1" a="1"/>
  <c r="L28" i="17" a="1"/>
  <c r="L28" i="17" s="1"/>
  <c r="K28" i="17"/>
  <c r="J28" i="17"/>
  <c r="I28" i="17"/>
  <c r="K27" i="17"/>
  <c r="J27" i="17"/>
  <c r="I27" i="17"/>
  <c r="L27" i="17" s="1" a="1"/>
  <c r="L27" i="17" s="1"/>
  <c r="L26" i="17" a="1"/>
  <c r="L26" i="17" s="1"/>
  <c r="K26" i="17"/>
  <c r="J26" i="17"/>
  <c r="I26" i="17"/>
  <c r="L25" i="17"/>
  <c r="K25" i="17"/>
  <c r="J25" i="17"/>
  <c r="I25" i="17"/>
  <c r="L25" i="17" s="1" a="1"/>
  <c r="L24" i="17" a="1"/>
  <c r="L24" i="17" s="1"/>
  <c r="K24" i="17"/>
  <c r="J24" i="17"/>
  <c r="I24" i="17"/>
  <c r="K23" i="17"/>
  <c r="J23" i="17"/>
  <c r="I23" i="17"/>
  <c r="L23" i="17" s="1" a="1"/>
  <c r="L23" i="17" s="1"/>
  <c r="L22" i="17" a="1"/>
  <c r="L22" i="17" s="1"/>
  <c r="K22" i="17"/>
  <c r="J22" i="17"/>
  <c r="I22" i="17"/>
  <c r="L21" i="17"/>
  <c r="K21" i="17"/>
  <c r="J21" i="17"/>
  <c r="I21" i="17"/>
  <c r="L21" i="17" s="1" a="1"/>
  <c r="L20" i="17" a="1"/>
  <c r="L20" i="17" s="1"/>
  <c r="K20" i="17"/>
  <c r="J20" i="17"/>
  <c r="I20" i="17"/>
  <c r="K19" i="17"/>
  <c r="J19" i="17"/>
  <c r="I19" i="17"/>
  <c r="L19" i="17" s="1" a="1"/>
  <c r="L19" i="17" s="1"/>
  <c r="L18" i="17" a="1"/>
  <c r="L18" i="17" s="1"/>
  <c r="K18" i="17"/>
  <c r="J18" i="17"/>
  <c r="I18" i="17"/>
  <c r="K17" i="17"/>
  <c r="J17" i="17"/>
  <c r="I17" i="17"/>
  <c r="L17" i="17" s="1" a="1"/>
  <c r="L17" i="17" s="1"/>
  <c r="L16" i="17" a="1"/>
  <c r="L16" i="17" s="1"/>
  <c r="K16" i="17"/>
  <c r="J16" i="17"/>
  <c r="I16" i="17"/>
  <c r="K15" i="17"/>
  <c r="J15" i="17"/>
  <c r="I15" i="17"/>
  <c r="L15" i="17" s="1" a="1"/>
  <c r="L15" i="17" s="1"/>
  <c r="L14" i="17" a="1"/>
  <c r="L14" i="17" s="1"/>
  <c r="K14" i="17"/>
  <c r="J14" i="17"/>
  <c r="I14" i="17"/>
  <c r="K13" i="17"/>
  <c r="J13" i="17"/>
  <c r="I13" i="17"/>
  <c r="L13" i="17" s="1" a="1"/>
  <c r="L13" i="17" s="1"/>
  <c r="L12" i="17" a="1"/>
  <c r="L12" i="17" s="1"/>
  <c r="K12" i="17"/>
  <c r="J12" i="17"/>
  <c r="I12" i="17"/>
  <c r="K11" i="17"/>
  <c r="J11" i="17"/>
  <c r="I11" i="17"/>
  <c r="L11" i="17" s="1" a="1"/>
  <c r="L11" i="17" s="1"/>
  <c r="L10" i="17" a="1"/>
  <c r="L10" i="17" s="1"/>
  <c r="K10" i="17"/>
  <c r="J10" i="17"/>
  <c r="I10" i="17"/>
  <c r="K9" i="17"/>
  <c r="J9" i="17"/>
  <c r="I9" i="17"/>
  <c r="L9" i="17" s="1" a="1"/>
  <c r="L9" i="17" s="1"/>
  <c r="L8" i="17" a="1"/>
  <c r="L8" i="17" s="1"/>
  <c r="K8" i="17"/>
  <c r="J8" i="17"/>
  <c r="I8" i="17"/>
  <c r="K7" i="17"/>
  <c r="J7" i="17"/>
  <c r="I7" i="17"/>
  <c r="L7" i="17" s="1" a="1"/>
  <c r="L7" i="17" s="1"/>
  <c r="L6" i="17" a="1"/>
  <c r="L6" i="17" s="1"/>
  <c r="K6" i="17"/>
  <c r="J6" i="17"/>
  <c r="I6" i="17"/>
  <c r="K5" i="17"/>
  <c r="J5" i="17"/>
  <c r="I5" i="17"/>
  <c r="L5" i="17" s="1" a="1"/>
  <c r="L5" i="17" s="1"/>
  <c r="L4" i="17" a="1"/>
  <c r="L4" i="17" s="1"/>
  <c r="K4" i="17"/>
  <c r="J4" i="17"/>
  <c r="I4" i="17"/>
  <c r="K3" i="17"/>
  <c r="J3" i="17"/>
  <c r="I3" i="17"/>
  <c r="L3" i="17" s="1" a="1"/>
  <c r="L3" i="17" s="1"/>
  <c r="L2" i="17" a="1"/>
  <c r="L2" i="17" s="1"/>
  <c r="K2" i="17"/>
  <c r="J2" i="17"/>
  <c r="I2" i="17"/>
  <c r="K188" i="16"/>
  <c r="J188" i="16"/>
  <c r="I188" i="16"/>
  <c r="L188" i="16" s="1" a="1"/>
  <c r="L188" i="16" s="1"/>
  <c r="L187" i="16" a="1"/>
  <c r="L187" i="16" s="1"/>
  <c r="K187" i="16"/>
  <c r="J187" i="16"/>
  <c r="I187" i="16"/>
  <c r="K186" i="16"/>
  <c r="J186" i="16"/>
  <c r="I186" i="16"/>
  <c r="L186" i="16" s="1" a="1"/>
  <c r="L186" i="16" s="1"/>
  <c r="K185" i="16"/>
  <c r="J185" i="16"/>
  <c r="I185" i="16"/>
  <c r="L185" i="16" s="1" a="1"/>
  <c r="L185" i="16" s="1"/>
  <c r="K184" i="16"/>
  <c r="J184" i="16"/>
  <c r="I184" i="16"/>
  <c r="L184" i="16" s="1" a="1"/>
  <c r="L184" i="16" s="1"/>
  <c r="L183" i="16" a="1"/>
  <c r="L183" i="16" s="1"/>
  <c r="K183" i="16"/>
  <c r="J183" i="16"/>
  <c r="I183" i="16"/>
  <c r="K182" i="16"/>
  <c r="J182" i="16"/>
  <c r="I182" i="16"/>
  <c r="L182" i="16" s="1" a="1"/>
  <c r="L182" i="16" s="1"/>
  <c r="K181" i="16"/>
  <c r="J181" i="16"/>
  <c r="I181" i="16"/>
  <c r="L181" i="16" s="1" a="1"/>
  <c r="L181" i="16" s="1"/>
  <c r="K180" i="16"/>
  <c r="J180" i="16"/>
  <c r="I180" i="16"/>
  <c r="L180" i="16" s="1" a="1"/>
  <c r="L180" i="16" s="1"/>
  <c r="L179" i="16" a="1"/>
  <c r="L179" i="16" s="1"/>
  <c r="K179" i="16"/>
  <c r="J179" i="16"/>
  <c r="I179" i="16"/>
  <c r="K178" i="16"/>
  <c r="J178" i="16"/>
  <c r="I178" i="16"/>
  <c r="L178" i="16" s="1" a="1"/>
  <c r="L178" i="16" s="1"/>
  <c r="K177" i="16"/>
  <c r="J177" i="16"/>
  <c r="I177" i="16"/>
  <c r="L177" i="16" s="1" a="1"/>
  <c r="L177" i="16" s="1"/>
  <c r="K176" i="16"/>
  <c r="J176" i="16"/>
  <c r="I176" i="16"/>
  <c r="L176" i="16" s="1" a="1"/>
  <c r="L176" i="16" s="1"/>
  <c r="L175" i="16" a="1"/>
  <c r="L175" i="16" s="1"/>
  <c r="K175" i="16"/>
  <c r="J175" i="16"/>
  <c r="I175" i="16"/>
  <c r="K174" i="16"/>
  <c r="J174" i="16"/>
  <c r="I174" i="16"/>
  <c r="L174" i="16" s="1" a="1"/>
  <c r="L174" i="16" s="1"/>
  <c r="K173" i="16"/>
  <c r="J173" i="16"/>
  <c r="I173" i="16"/>
  <c r="L173" i="16" s="1" a="1"/>
  <c r="L173" i="16" s="1"/>
  <c r="K172" i="16"/>
  <c r="J172" i="16"/>
  <c r="I172" i="16"/>
  <c r="L172" i="16" s="1" a="1"/>
  <c r="L172" i="16" s="1"/>
  <c r="L171" i="16" a="1"/>
  <c r="L171" i="16" s="1"/>
  <c r="K171" i="16"/>
  <c r="J171" i="16"/>
  <c r="I171" i="16"/>
  <c r="K170" i="16"/>
  <c r="J170" i="16"/>
  <c r="I170" i="16"/>
  <c r="L170" i="16" s="1" a="1"/>
  <c r="L170" i="16" s="1"/>
  <c r="K169" i="16"/>
  <c r="J169" i="16"/>
  <c r="I169" i="16"/>
  <c r="L169" i="16" s="1" a="1"/>
  <c r="L169" i="16" s="1"/>
  <c r="K168" i="16"/>
  <c r="J168" i="16"/>
  <c r="I168" i="16"/>
  <c r="L168" i="16" s="1" a="1"/>
  <c r="L168" i="16" s="1"/>
  <c r="L167" i="16" a="1"/>
  <c r="L167" i="16" s="1"/>
  <c r="K167" i="16"/>
  <c r="J167" i="16"/>
  <c r="I167" i="16"/>
  <c r="K166" i="16"/>
  <c r="J166" i="16"/>
  <c r="I166" i="16"/>
  <c r="L166" i="16" s="1" a="1"/>
  <c r="L166" i="16" s="1"/>
  <c r="K165" i="16"/>
  <c r="J165" i="16"/>
  <c r="I165" i="16"/>
  <c r="L165" i="16" s="1" a="1"/>
  <c r="L165" i="16" s="1"/>
  <c r="K164" i="16"/>
  <c r="J164" i="16"/>
  <c r="I164" i="16"/>
  <c r="L164" i="16" s="1" a="1"/>
  <c r="L164" i="16" s="1"/>
  <c r="L163" i="16" a="1"/>
  <c r="L163" i="16" s="1"/>
  <c r="K163" i="16"/>
  <c r="J163" i="16"/>
  <c r="I163" i="16"/>
  <c r="K162" i="16"/>
  <c r="J162" i="16"/>
  <c r="I162" i="16"/>
  <c r="L162" i="16" s="1" a="1"/>
  <c r="L162" i="16" s="1"/>
  <c r="K161" i="16"/>
  <c r="J161" i="16"/>
  <c r="I161" i="16"/>
  <c r="L161" i="16" s="1" a="1"/>
  <c r="L161" i="16" s="1"/>
  <c r="K160" i="16"/>
  <c r="J160" i="16"/>
  <c r="I160" i="16"/>
  <c r="L160" i="16" s="1" a="1"/>
  <c r="L160" i="16" s="1"/>
  <c r="L159" i="16" a="1"/>
  <c r="L159" i="16" s="1"/>
  <c r="K159" i="16"/>
  <c r="J159" i="16"/>
  <c r="I159" i="16"/>
  <c r="K158" i="16"/>
  <c r="J158" i="16"/>
  <c r="I158" i="16"/>
  <c r="L158" i="16" s="1" a="1"/>
  <c r="L158" i="16" s="1"/>
  <c r="K157" i="16"/>
  <c r="J157" i="16"/>
  <c r="I157" i="16"/>
  <c r="L157" i="16" s="1" a="1"/>
  <c r="L157" i="16" s="1"/>
  <c r="K156" i="16"/>
  <c r="J156" i="16"/>
  <c r="I156" i="16"/>
  <c r="L156" i="16" s="1" a="1"/>
  <c r="L156" i="16" s="1"/>
  <c r="L155" i="16" a="1"/>
  <c r="L155" i="16" s="1"/>
  <c r="K155" i="16"/>
  <c r="J155" i="16"/>
  <c r="I155" i="16"/>
  <c r="K154" i="16"/>
  <c r="J154" i="16"/>
  <c r="I154" i="16"/>
  <c r="L154" i="16" s="1" a="1"/>
  <c r="L154" i="16" s="1"/>
  <c r="K153" i="16"/>
  <c r="J153" i="16"/>
  <c r="I153" i="16"/>
  <c r="L153" i="16" s="1" a="1"/>
  <c r="L153" i="16" s="1"/>
  <c r="K152" i="16"/>
  <c r="J152" i="16"/>
  <c r="I152" i="16"/>
  <c r="L152" i="16" s="1" a="1"/>
  <c r="L152" i="16" s="1"/>
  <c r="L151" i="16" a="1"/>
  <c r="L151" i="16" s="1"/>
  <c r="K151" i="16"/>
  <c r="J151" i="16"/>
  <c r="I151" i="16"/>
  <c r="K150" i="16"/>
  <c r="J150" i="16"/>
  <c r="I150" i="16"/>
  <c r="L150" i="16" s="1" a="1"/>
  <c r="L150" i="16" s="1"/>
  <c r="K149" i="16"/>
  <c r="J149" i="16"/>
  <c r="I149" i="16"/>
  <c r="L149" i="16" s="1" a="1"/>
  <c r="L149" i="16" s="1"/>
  <c r="K148" i="16"/>
  <c r="J148" i="16"/>
  <c r="I148" i="16"/>
  <c r="L148" i="16" s="1" a="1"/>
  <c r="L148" i="16" s="1"/>
  <c r="L147" i="16" a="1"/>
  <c r="L147" i="16" s="1"/>
  <c r="K147" i="16"/>
  <c r="J147" i="16"/>
  <c r="I147" i="16"/>
  <c r="K146" i="16"/>
  <c r="J146" i="16"/>
  <c r="I146" i="16"/>
  <c r="L146" i="16" s="1" a="1"/>
  <c r="L146" i="16" s="1"/>
  <c r="K145" i="16"/>
  <c r="J145" i="16"/>
  <c r="I145" i="16"/>
  <c r="L145" i="16" s="1" a="1"/>
  <c r="L145" i="16" s="1"/>
  <c r="K144" i="16"/>
  <c r="J144" i="16"/>
  <c r="I144" i="16"/>
  <c r="L144" i="16" s="1" a="1"/>
  <c r="L144" i="16" s="1"/>
  <c r="L143" i="16" a="1"/>
  <c r="L143" i="16" s="1"/>
  <c r="K143" i="16"/>
  <c r="J143" i="16"/>
  <c r="I143" i="16"/>
  <c r="K142" i="16"/>
  <c r="J142" i="16"/>
  <c r="I142" i="16"/>
  <c r="L142" i="16" s="1" a="1"/>
  <c r="L142" i="16" s="1"/>
  <c r="K141" i="16"/>
  <c r="J141" i="16"/>
  <c r="I141" i="16"/>
  <c r="L141" i="16" s="1" a="1"/>
  <c r="L141" i="16" s="1"/>
  <c r="K140" i="16"/>
  <c r="J140" i="16"/>
  <c r="I140" i="16"/>
  <c r="L140" i="16" s="1" a="1"/>
  <c r="L140" i="16" s="1"/>
  <c r="L139" i="16" a="1"/>
  <c r="L139" i="16" s="1"/>
  <c r="K139" i="16"/>
  <c r="J139" i="16"/>
  <c r="I139" i="16"/>
  <c r="K138" i="16"/>
  <c r="J138" i="16"/>
  <c r="I138" i="16"/>
  <c r="L138" i="16" s="1" a="1"/>
  <c r="L138" i="16" s="1"/>
  <c r="K137" i="16"/>
  <c r="J137" i="16"/>
  <c r="I137" i="16"/>
  <c r="L137" i="16" s="1" a="1"/>
  <c r="L137" i="16" s="1"/>
  <c r="K136" i="16"/>
  <c r="J136" i="16"/>
  <c r="I136" i="16"/>
  <c r="L136" i="16" s="1" a="1"/>
  <c r="L136" i="16" s="1"/>
  <c r="L135" i="16" a="1"/>
  <c r="L135" i="16" s="1"/>
  <c r="K135" i="16"/>
  <c r="J135" i="16"/>
  <c r="I135" i="16"/>
  <c r="K134" i="16"/>
  <c r="J134" i="16"/>
  <c r="I134" i="16"/>
  <c r="L134" i="16" s="1" a="1"/>
  <c r="L134" i="16" s="1"/>
  <c r="K133" i="16"/>
  <c r="J133" i="16"/>
  <c r="I133" i="16"/>
  <c r="L133" i="16" s="1" a="1"/>
  <c r="L133" i="16" s="1"/>
  <c r="K132" i="16"/>
  <c r="J132" i="16"/>
  <c r="I132" i="16"/>
  <c r="L132" i="16" s="1" a="1"/>
  <c r="L132" i="16" s="1"/>
  <c r="L131" i="16" a="1"/>
  <c r="L131" i="16" s="1"/>
  <c r="K131" i="16"/>
  <c r="J131" i="16"/>
  <c r="I131" i="16"/>
  <c r="K130" i="16"/>
  <c r="J130" i="16"/>
  <c r="I130" i="16"/>
  <c r="L130" i="16" s="1" a="1"/>
  <c r="L130" i="16" s="1"/>
  <c r="K129" i="16"/>
  <c r="J129" i="16"/>
  <c r="I129" i="16"/>
  <c r="L129" i="16" s="1" a="1"/>
  <c r="L129" i="16" s="1"/>
  <c r="K128" i="16"/>
  <c r="J128" i="16"/>
  <c r="I128" i="16"/>
  <c r="L128" i="16" s="1" a="1"/>
  <c r="L128" i="16" s="1"/>
  <c r="L127" i="16" a="1"/>
  <c r="L127" i="16" s="1"/>
  <c r="K127" i="16"/>
  <c r="J127" i="16"/>
  <c r="I127" i="16"/>
  <c r="K126" i="16"/>
  <c r="J126" i="16"/>
  <c r="I126" i="16"/>
  <c r="L126" i="16" s="1" a="1"/>
  <c r="L126" i="16" s="1"/>
  <c r="K125" i="16"/>
  <c r="J125" i="16"/>
  <c r="I125" i="16"/>
  <c r="L125" i="16" s="1" a="1"/>
  <c r="L125" i="16" s="1"/>
  <c r="K124" i="16"/>
  <c r="J124" i="16"/>
  <c r="I124" i="16"/>
  <c r="L124" i="16" s="1" a="1"/>
  <c r="L124" i="16" s="1"/>
  <c r="L123" i="16" a="1"/>
  <c r="L123" i="16" s="1"/>
  <c r="K123" i="16"/>
  <c r="J123" i="16"/>
  <c r="I123" i="16"/>
  <c r="K122" i="16"/>
  <c r="J122" i="16"/>
  <c r="I122" i="16"/>
  <c r="L122" i="16" s="1" a="1"/>
  <c r="L122" i="16" s="1"/>
  <c r="K121" i="16"/>
  <c r="J121" i="16"/>
  <c r="I121" i="16"/>
  <c r="L121" i="16" s="1" a="1"/>
  <c r="L121" i="16" s="1"/>
  <c r="K120" i="16"/>
  <c r="J120" i="16"/>
  <c r="I120" i="16"/>
  <c r="L120" i="16" s="1" a="1"/>
  <c r="L120" i="16" s="1"/>
  <c r="L119" i="16" a="1"/>
  <c r="L119" i="16" s="1"/>
  <c r="K119" i="16"/>
  <c r="J119" i="16"/>
  <c r="I119" i="16"/>
  <c r="K118" i="16"/>
  <c r="J118" i="16"/>
  <c r="I118" i="16"/>
  <c r="L118" i="16" s="1" a="1"/>
  <c r="L118" i="16" s="1"/>
  <c r="K117" i="16"/>
  <c r="J117" i="16"/>
  <c r="I117" i="16"/>
  <c r="L117" i="16" s="1" a="1"/>
  <c r="L117" i="16" s="1"/>
  <c r="K116" i="16"/>
  <c r="J116" i="16"/>
  <c r="I116" i="16"/>
  <c r="L116" i="16" s="1" a="1"/>
  <c r="L116" i="16" s="1"/>
  <c r="L115" i="16" a="1"/>
  <c r="L115" i="16" s="1"/>
  <c r="K115" i="16"/>
  <c r="J115" i="16"/>
  <c r="I115" i="16"/>
  <c r="K114" i="16"/>
  <c r="J114" i="16"/>
  <c r="I114" i="16"/>
  <c r="L114" i="16" s="1" a="1"/>
  <c r="L114" i="16" s="1"/>
  <c r="K113" i="16"/>
  <c r="J113" i="16"/>
  <c r="I113" i="16"/>
  <c r="L113" i="16" s="1" a="1"/>
  <c r="L113" i="16" s="1"/>
  <c r="K112" i="16"/>
  <c r="J112" i="16"/>
  <c r="I112" i="16"/>
  <c r="L112" i="16" s="1" a="1"/>
  <c r="L112" i="16" s="1"/>
  <c r="L111" i="16" a="1"/>
  <c r="L111" i="16" s="1"/>
  <c r="K111" i="16"/>
  <c r="J111" i="16"/>
  <c r="I111" i="16"/>
  <c r="K110" i="16"/>
  <c r="J110" i="16"/>
  <c r="I110" i="16"/>
  <c r="L110" i="16" s="1" a="1"/>
  <c r="L110" i="16" s="1"/>
  <c r="K109" i="16"/>
  <c r="J109" i="16"/>
  <c r="I109" i="16"/>
  <c r="L109" i="16" s="1" a="1"/>
  <c r="L109" i="16" s="1"/>
  <c r="K108" i="16"/>
  <c r="J108" i="16"/>
  <c r="I108" i="16"/>
  <c r="L108" i="16" s="1" a="1"/>
  <c r="L108" i="16" s="1"/>
  <c r="L107" i="16" a="1"/>
  <c r="L107" i="16" s="1"/>
  <c r="K107" i="16"/>
  <c r="J107" i="16"/>
  <c r="I107" i="16"/>
  <c r="K106" i="16"/>
  <c r="J106" i="16"/>
  <c r="I106" i="16"/>
  <c r="L106" i="16" s="1" a="1"/>
  <c r="L106" i="16" s="1"/>
  <c r="K105" i="16"/>
  <c r="J105" i="16"/>
  <c r="I105" i="16"/>
  <c r="L105" i="16" s="1" a="1"/>
  <c r="L105" i="16" s="1"/>
  <c r="K104" i="16"/>
  <c r="J104" i="16"/>
  <c r="I104" i="16"/>
  <c r="L104" i="16" s="1" a="1"/>
  <c r="L104" i="16" s="1"/>
  <c r="L103" i="16" a="1"/>
  <c r="L103" i="16" s="1"/>
  <c r="K103" i="16"/>
  <c r="J103" i="16"/>
  <c r="I103" i="16"/>
  <c r="K102" i="16"/>
  <c r="J102" i="16"/>
  <c r="I102" i="16"/>
  <c r="L102" i="16" s="1" a="1"/>
  <c r="L102" i="16" s="1"/>
  <c r="K101" i="16"/>
  <c r="J101" i="16"/>
  <c r="I101" i="16"/>
  <c r="L101" i="16" s="1" a="1"/>
  <c r="L101" i="16" s="1"/>
  <c r="K100" i="16"/>
  <c r="J100" i="16"/>
  <c r="I100" i="16"/>
  <c r="L100" i="16" s="1" a="1"/>
  <c r="L100" i="16" s="1"/>
  <c r="L99" i="16" a="1"/>
  <c r="L99" i="16" s="1"/>
  <c r="K99" i="16"/>
  <c r="J99" i="16"/>
  <c r="I99" i="16"/>
  <c r="K98" i="16"/>
  <c r="J98" i="16"/>
  <c r="I98" i="16"/>
  <c r="L98" i="16" s="1" a="1"/>
  <c r="L98" i="16" s="1"/>
  <c r="K97" i="16"/>
  <c r="J97" i="16"/>
  <c r="I97" i="16"/>
  <c r="L97" i="16" s="1" a="1"/>
  <c r="L97" i="16" s="1"/>
  <c r="K96" i="16"/>
  <c r="J96" i="16"/>
  <c r="I96" i="16"/>
  <c r="L96" i="16" s="1" a="1"/>
  <c r="L96" i="16" s="1"/>
  <c r="L95" i="16" a="1"/>
  <c r="L95" i="16" s="1"/>
  <c r="K95" i="16"/>
  <c r="J95" i="16"/>
  <c r="I95" i="16"/>
  <c r="K94" i="16"/>
  <c r="J94" i="16"/>
  <c r="I94" i="16"/>
  <c r="L94" i="16" s="1" a="1"/>
  <c r="L94" i="16" s="1"/>
  <c r="K93" i="16"/>
  <c r="J93" i="16"/>
  <c r="I93" i="16"/>
  <c r="L93" i="16" s="1" a="1"/>
  <c r="L93" i="16" s="1"/>
  <c r="K92" i="16"/>
  <c r="J92" i="16"/>
  <c r="I92" i="16"/>
  <c r="L92" i="16" s="1" a="1"/>
  <c r="L92" i="16" s="1"/>
  <c r="L91" i="16" a="1"/>
  <c r="L91" i="16" s="1"/>
  <c r="K91" i="16"/>
  <c r="J91" i="16"/>
  <c r="I91" i="16"/>
  <c r="K90" i="16"/>
  <c r="J90" i="16"/>
  <c r="I90" i="16"/>
  <c r="L90" i="16" s="1" a="1"/>
  <c r="L90" i="16" s="1"/>
  <c r="K89" i="16"/>
  <c r="J89" i="16"/>
  <c r="I89" i="16"/>
  <c r="L89" i="16" s="1" a="1"/>
  <c r="L89" i="16" s="1"/>
  <c r="K88" i="16"/>
  <c r="J88" i="16"/>
  <c r="I88" i="16"/>
  <c r="L88" i="16" s="1" a="1"/>
  <c r="L88" i="16" s="1"/>
  <c r="L87" i="16" a="1"/>
  <c r="L87" i="16" s="1"/>
  <c r="K87" i="16"/>
  <c r="J87" i="16"/>
  <c r="I87" i="16"/>
  <c r="K86" i="16"/>
  <c r="J86" i="16"/>
  <c r="I86" i="16"/>
  <c r="L86" i="16" s="1" a="1"/>
  <c r="L86" i="16" s="1"/>
  <c r="K85" i="16"/>
  <c r="J85" i="16"/>
  <c r="I85" i="16"/>
  <c r="L85" i="16" s="1" a="1"/>
  <c r="L85" i="16" s="1"/>
  <c r="K84" i="16"/>
  <c r="J84" i="16"/>
  <c r="I84" i="16"/>
  <c r="L84" i="16" s="1" a="1"/>
  <c r="L84" i="16" s="1"/>
  <c r="L83" i="16" a="1"/>
  <c r="L83" i="16" s="1"/>
  <c r="K83" i="16"/>
  <c r="J83" i="16"/>
  <c r="I83" i="16"/>
  <c r="K82" i="16"/>
  <c r="J82" i="16"/>
  <c r="I82" i="16"/>
  <c r="L82" i="16" s="1" a="1"/>
  <c r="L82" i="16" s="1"/>
  <c r="K81" i="16"/>
  <c r="J81" i="16"/>
  <c r="I81" i="16"/>
  <c r="L81" i="16" s="1" a="1"/>
  <c r="L81" i="16" s="1"/>
  <c r="K80" i="16"/>
  <c r="J80" i="16"/>
  <c r="I80" i="16"/>
  <c r="L80" i="16" s="1" a="1"/>
  <c r="L80" i="16" s="1"/>
  <c r="L79" i="16" a="1"/>
  <c r="L79" i="16" s="1"/>
  <c r="K79" i="16"/>
  <c r="J79" i="16"/>
  <c r="I79" i="16"/>
  <c r="K78" i="16"/>
  <c r="J78" i="16"/>
  <c r="I78" i="16"/>
  <c r="L78" i="16" s="1" a="1"/>
  <c r="L78" i="16" s="1"/>
  <c r="K77" i="16"/>
  <c r="J77" i="16"/>
  <c r="I77" i="16"/>
  <c r="L77" i="16" s="1" a="1"/>
  <c r="L77" i="16" s="1"/>
  <c r="K76" i="16"/>
  <c r="J76" i="16"/>
  <c r="I76" i="16"/>
  <c r="L76" i="16" s="1" a="1"/>
  <c r="L76" i="16" s="1"/>
  <c r="L75" i="16" a="1"/>
  <c r="L75" i="16" s="1"/>
  <c r="K75" i="16"/>
  <c r="J75" i="16"/>
  <c r="I75" i="16"/>
  <c r="L74" i="16" a="1"/>
  <c r="L74" i="16" s="1"/>
  <c r="K74" i="16"/>
  <c r="J74" i="16"/>
  <c r="I74" i="16"/>
  <c r="L73" i="16"/>
  <c r="K73" i="16"/>
  <c r="J73" i="16"/>
  <c r="I73" i="16"/>
  <c r="L73" i="16" s="1" a="1"/>
  <c r="K72" i="16"/>
  <c r="J72" i="16"/>
  <c r="I72" i="16"/>
  <c r="L72" i="16" s="1" a="1"/>
  <c r="L72" i="16" s="1"/>
  <c r="L71" i="16" a="1"/>
  <c r="L71" i="16" s="1"/>
  <c r="K71" i="16"/>
  <c r="J71" i="16"/>
  <c r="I71" i="16"/>
  <c r="L70" i="16" a="1"/>
  <c r="L70" i="16" s="1"/>
  <c r="K70" i="16"/>
  <c r="J70" i="16"/>
  <c r="I70" i="16"/>
  <c r="L69" i="16"/>
  <c r="K69" i="16"/>
  <c r="J69" i="16"/>
  <c r="I69" i="16"/>
  <c r="L69" i="16" s="1" a="1"/>
  <c r="K68" i="16"/>
  <c r="J68" i="16"/>
  <c r="I68" i="16"/>
  <c r="L68" i="16" s="1" a="1"/>
  <c r="L68" i="16" s="1"/>
  <c r="L67" i="16" a="1"/>
  <c r="L67" i="16" s="1"/>
  <c r="K67" i="16"/>
  <c r="J67" i="16"/>
  <c r="I67" i="16"/>
  <c r="L66" i="16" a="1"/>
  <c r="L66" i="16" s="1"/>
  <c r="K66" i="16"/>
  <c r="J66" i="16"/>
  <c r="I66" i="16"/>
  <c r="L65" i="16"/>
  <c r="K65" i="16"/>
  <c r="J65" i="16"/>
  <c r="I65" i="16"/>
  <c r="L65" i="16" s="1" a="1"/>
  <c r="K64" i="16"/>
  <c r="J64" i="16"/>
  <c r="I64" i="16"/>
  <c r="L64" i="16" s="1" a="1"/>
  <c r="L64" i="16" s="1"/>
  <c r="L63" i="16" a="1"/>
  <c r="L63" i="16" s="1"/>
  <c r="K63" i="16"/>
  <c r="J63" i="16"/>
  <c r="I63" i="16"/>
  <c r="L62" i="16" a="1"/>
  <c r="L62" i="16" s="1"/>
  <c r="K62" i="16"/>
  <c r="J62" i="16"/>
  <c r="I62" i="16"/>
  <c r="L61" i="16"/>
  <c r="K61" i="16"/>
  <c r="J61" i="16"/>
  <c r="I61" i="16"/>
  <c r="L61" i="16" s="1" a="1"/>
  <c r="K60" i="16"/>
  <c r="J60" i="16"/>
  <c r="I60" i="16"/>
  <c r="L60" i="16" s="1" a="1"/>
  <c r="L60" i="16" s="1"/>
  <c r="L59" i="16" a="1"/>
  <c r="L59" i="16" s="1"/>
  <c r="K59" i="16"/>
  <c r="J59" i="16"/>
  <c r="I59" i="16"/>
  <c r="L58" i="16" a="1"/>
  <c r="L58" i="16" s="1"/>
  <c r="K58" i="16"/>
  <c r="J58" i="16"/>
  <c r="I58" i="16"/>
  <c r="L57" i="16"/>
  <c r="K57" i="16"/>
  <c r="J57" i="16"/>
  <c r="I57" i="16"/>
  <c r="L57" i="16" s="1" a="1"/>
  <c r="K56" i="16"/>
  <c r="J56" i="16"/>
  <c r="I56" i="16"/>
  <c r="L56" i="16" s="1" a="1"/>
  <c r="L56" i="16" s="1"/>
  <c r="L55" i="16" a="1"/>
  <c r="L55" i="16" s="1"/>
  <c r="K55" i="16"/>
  <c r="J55" i="16"/>
  <c r="I55" i="16"/>
  <c r="L54" i="16" a="1"/>
  <c r="L54" i="16" s="1"/>
  <c r="K54" i="16"/>
  <c r="J54" i="16"/>
  <c r="I54" i="16"/>
  <c r="L53" i="16"/>
  <c r="K53" i="16"/>
  <c r="J53" i="16"/>
  <c r="I53" i="16"/>
  <c r="L53" i="16" s="1" a="1"/>
  <c r="K52" i="16"/>
  <c r="J52" i="16"/>
  <c r="I52" i="16"/>
  <c r="L52" i="16" s="1" a="1"/>
  <c r="L52" i="16" s="1"/>
  <c r="L51" i="16" a="1"/>
  <c r="L51" i="16" s="1"/>
  <c r="K51" i="16"/>
  <c r="J51" i="16"/>
  <c r="I51" i="16"/>
  <c r="L50" i="16" a="1"/>
  <c r="L50" i="16" s="1"/>
  <c r="K50" i="16"/>
  <c r="J50" i="16"/>
  <c r="I50" i="16"/>
  <c r="L49" i="16"/>
  <c r="K49" i="16"/>
  <c r="J49" i="16"/>
  <c r="I49" i="16"/>
  <c r="L49" i="16" s="1" a="1"/>
  <c r="K48" i="16"/>
  <c r="J48" i="16"/>
  <c r="I48" i="16"/>
  <c r="L48" i="16" s="1" a="1"/>
  <c r="L48" i="16" s="1"/>
  <c r="L47" i="16" a="1"/>
  <c r="L47" i="16" s="1"/>
  <c r="K47" i="16"/>
  <c r="J47" i="16"/>
  <c r="I47" i="16"/>
  <c r="L46" i="16" a="1"/>
  <c r="L46" i="16" s="1"/>
  <c r="K46" i="16"/>
  <c r="J46" i="16"/>
  <c r="I46" i="16"/>
  <c r="L45" i="16"/>
  <c r="K45" i="16"/>
  <c r="J45" i="16"/>
  <c r="I45" i="16"/>
  <c r="L45" i="16" s="1" a="1"/>
  <c r="K44" i="16"/>
  <c r="J44" i="16"/>
  <c r="I44" i="16"/>
  <c r="L44" i="16" s="1" a="1"/>
  <c r="L44" i="16" s="1"/>
  <c r="L43" i="16" a="1"/>
  <c r="L43" i="16" s="1"/>
  <c r="K43" i="16"/>
  <c r="J43" i="16"/>
  <c r="I43" i="16"/>
  <c r="L42" i="16" a="1"/>
  <c r="L42" i="16" s="1"/>
  <c r="K42" i="16"/>
  <c r="J42" i="16"/>
  <c r="I42" i="16"/>
  <c r="K41" i="16"/>
  <c r="J41" i="16"/>
  <c r="I41" i="16"/>
  <c r="L41" i="16" s="1" a="1"/>
  <c r="L41" i="16" s="1"/>
  <c r="K40" i="16"/>
  <c r="J40" i="16"/>
  <c r="I40" i="16"/>
  <c r="L40" i="16" s="1" a="1"/>
  <c r="L40" i="16" s="1"/>
  <c r="L39" i="16" a="1"/>
  <c r="L39" i="16" s="1"/>
  <c r="K39" i="16"/>
  <c r="J39" i="16"/>
  <c r="I39" i="16"/>
  <c r="L38" i="16" a="1"/>
  <c r="L38" i="16" s="1"/>
  <c r="K38" i="16"/>
  <c r="J38" i="16"/>
  <c r="I38" i="16"/>
  <c r="K37" i="16"/>
  <c r="J37" i="16"/>
  <c r="I37" i="16"/>
  <c r="L37" i="16" s="1" a="1"/>
  <c r="L37" i="16" s="1"/>
  <c r="K36" i="16"/>
  <c r="J36" i="16"/>
  <c r="I36" i="16"/>
  <c r="L36" i="16" s="1" a="1"/>
  <c r="L36" i="16" s="1"/>
  <c r="L35" i="16" a="1"/>
  <c r="L35" i="16" s="1"/>
  <c r="K35" i="16"/>
  <c r="J35" i="16"/>
  <c r="I35" i="16"/>
  <c r="L34" i="16" a="1"/>
  <c r="L34" i="16" s="1"/>
  <c r="K34" i="16"/>
  <c r="J34" i="16"/>
  <c r="I34" i="16"/>
  <c r="K33" i="16"/>
  <c r="J33" i="16"/>
  <c r="I33" i="16"/>
  <c r="L33" i="16" s="1" a="1"/>
  <c r="L33" i="16" s="1"/>
  <c r="K32" i="16"/>
  <c r="J32" i="16"/>
  <c r="I32" i="16"/>
  <c r="L32" i="16" s="1" a="1"/>
  <c r="L32" i="16" s="1"/>
  <c r="L31" i="16" a="1"/>
  <c r="L31" i="16" s="1"/>
  <c r="K31" i="16"/>
  <c r="J31" i="16"/>
  <c r="I31" i="16"/>
  <c r="L30" i="16" a="1"/>
  <c r="L30" i="16" s="1"/>
  <c r="K30" i="16"/>
  <c r="J30" i="16"/>
  <c r="I30" i="16"/>
  <c r="K29" i="16"/>
  <c r="J29" i="16"/>
  <c r="I29" i="16"/>
  <c r="L29" i="16" s="1" a="1"/>
  <c r="L29" i="16" s="1"/>
  <c r="K28" i="16"/>
  <c r="J28" i="16"/>
  <c r="I28" i="16"/>
  <c r="L28" i="16" s="1" a="1"/>
  <c r="L28" i="16" s="1"/>
  <c r="L27" i="16" a="1"/>
  <c r="L27" i="16" s="1"/>
  <c r="K27" i="16"/>
  <c r="J27" i="16"/>
  <c r="I27" i="16"/>
  <c r="L26" i="16" a="1"/>
  <c r="L26" i="16" s="1"/>
  <c r="K26" i="16"/>
  <c r="J26" i="16"/>
  <c r="I26" i="16"/>
  <c r="K25" i="16"/>
  <c r="J25" i="16"/>
  <c r="I25" i="16"/>
  <c r="L25" i="16" s="1" a="1"/>
  <c r="L25" i="16" s="1"/>
  <c r="K24" i="16"/>
  <c r="J24" i="16"/>
  <c r="I24" i="16"/>
  <c r="L24" i="16" s="1" a="1"/>
  <c r="L24" i="16" s="1"/>
  <c r="L23" i="16" a="1"/>
  <c r="L23" i="16" s="1"/>
  <c r="K23" i="16"/>
  <c r="J23" i="16"/>
  <c r="I23" i="16"/>
  <c r="L22" i="16" a="1"/>
  <c r="L22" i="16" s="1"/>
  <c r="K22" i="16"/>
  <c r="J22" i="16"/>
  <c r="I22" i="16"/>
  <c r="K21" i="16"/>
  <c r="J21" i="16"/>
  <c r="I21" i="16"/>
  <c r="L21" i="16" s="1" a="1"/>
  <c r="L21" i="16" s="1"/>
  <c r="K20" i="16"/>
  <c r="J20" i="16"/>
  <c r="I20" i="16"/>
  <c r="L20" i="16" s="1" a="1"/>
  <c r="L20" i="16" s="1"/>
  <c r="L19" i="16" a="1"/>
  <c r="L19" i="16" s="1"/>
  <c r="K19" i="16"/>
  <c r="J19" i="16"/>
  <c r="I19" i="16"/>
  <c r="K18" i="16"/>
  <c r="J18" i="16"/>
  <c r="I18" i="16"/>
  <c r="L18" i="16" s="1" a="1"/>
  <c r="L18" i="16" s="1"/>
  <c r="L17" i="16" a="1"/>
  <c r="L17" i="16" s="1"/>
  <c r="K17" i="16"/>
  <c r="J17" i="16"/>
  <c r="I17" i="16"/>
  <c r="K16" i="16"/>
  <c r="J16" i="16"/>
  <c r="I16" i="16"/>
  <c r="L16" i="16" s="1" a="1"/>
  <c r="L16" i="16" s="1"/>
  <c r="L15" i="16" a="1"/>
  <c r="L15" i="16" s="1"/>
  <c r="K15" i="16"/>
  <c r="J15" i="16"/>
  <c r="I15" i="16"/>
  <c r="K14" i="16"/>
  <c r="J14" i="16"/>
  <c r="I14" i="16"/>
  <c r="L14" i="16" s="1" a="1"/>
  <c r="L14" i="16" s="1"/>
  <c r="L13" i="16" a="1"/>
  <c r="L13" i="16" s="1"/>
  <c r="K13" i="16"/>
  <c r="J13" i="16"/>
  <c r="I13" i="16"/>
  <c r="K12" i="16"/>
  <c r="J12" i="16"/>
  <c r="I12" i="16"/>
  <c r="L12" i="16" s="1" a="1"/>
  <c r="L12" i="16" s="1"/>
  <c r="L11" i="16" a="1"/>
  <c r="L11" i="16" s="1"/>
  <c r="K11" i="16"/>
  <c r="J11" i="16"/>
  <c r="I11" i="16"/>
  <c r="K10" i="16"/>
  <c r="J10" i="16"/>
  <c r="I10" i="16"/>
  <c r="L10" i="16" s="1" a="1"/>
  <c r="L10" i="16" s="1"/>
  <c r="L9" i="16" a="1"/>
  <c r="L9" i="16" s="1"/>
  <c r="K9" i="16"/>
  <c r="J9" i="16"/>
  <c r="I9" i="16"/>
  <c r="K8" i="16"/>
  <c r="J8" i="16"/>
  <c r="I8" i="16"/>
  <c r="L8" i="16" s="1" a="1"/>
  <c r="L8" i="16" s="1"/>
  <c r="L7" i="16" a="1"/>
  <c r="L7" i="16" s="1"/>
  <c r="K7" i="16"/>
  <c r="J7" i="16"/>
  <c r="I7" i="16"/>
  <c r="K6" i="16"/>
  <c r="J6" i="16"/>
  <c r="I6" i="16"/>
  <c r="L6" i="16" s="1" a="1"/>
  <c r="L6" i="16" s="1"/>
  <c r="L5" i="16" a="1"/>
  <c r="L5" i="16" s="1"/>
  <c r="K5" i="16"/>
  <c r="J5" i="16"/>
  <c r="I5" i="16"/>
  <c r="K4" i="16"/>
  <c r="J4" i="16"/>
  <c r="I4" i="16"/>
  <c r="L4" i="16" s="1" a="1"/>
  <c r="L4" i="16" s="1"/>
  <c r="L3" i="16" a="1"/>
  <c r="L3" i="16" s="1"/>
  <c r="K3" i="16"/>
  <c r="J3" i="16"/>
  <c r="I3" i="16"/>
  <c r="K2" i="16"/>
  <c r="J2" i="16"/>
  <c r="I2" i="16"/>
  <c r="L2" i="16" s="1" a="1"/>
  <c r="L2" i="16" s="1"/>
  <c r="P3" i="1"/>
  <c r="K188" i="6"/>
  <c r="J188" i="6"/>
  <c r="I188" i="6"/>
  <c r="L188" i="6" s="1" a="1"/>
  <c r="L188" i="6" s="1"/>
  <c r="L187" i="6" a="1"/>
  <c r="L187" i="6" s="1"/>
  <c r="K187" i="6"/>
  <c r="J187" i="6"/>
  <c r="I187" i="6"/>
  <c r="K186" i="6"/>
  <c r="J186" i="6"/>
  <c r="I186" i="6"/>
  <c r="L186" i="6" s="1" a="1"/>
  <c r="L186" i="6" s="1"/>
  <c r="K185" i="6"/>
  <c r="J185" i="6"/>
  <c r="I185" i="6"/>
  <c r="L185" i="6" s="1" a="1"/>
  <c r="L185" i="6" s="1"/>
  <c r="K184" i="6"/>
  <c r="J184" i="6"/>
  <c r="I184" i="6"/>
  <c r="L184" i="6" s="1" a="1"/>
  <c r="L184" i="6" s="1"/>
  <c r="K183" i="6"/>
  <c r="J183" i="6"/>
  <c r="I183" i="6"/>
  <c r="L183" i="6" s="1" a="1"/>
  <c r="L183" i="6" s="1"/>
  <c r="K182" i="6"/>
  <c r="J182" i="6"/>
  <c r="I182" i="6"/>
  <c r="L182" i="6" s="1" a="1"/>
  <c r="L182" i="6" s="1"/>
  <c r="K181" i="6"/>
  <c r="J181" i="6"/>
  <c r="I181" i="6"/>
  <c r="L181" i="6" s="1" a="1"/>
  <c r="L181" i="6" s="1"/>
  <c r="K180" i="6"/>
  <c r="J180" i="6"/>
  <c r="I180" i="6"/>
  <c r="L180" i="6" s="1" a="1"/>
  <c r="L180" i="6" s="1"/>
  <c r="K179" i="6"/>
  <c r="J179" i="6"/>
  <c r="I179" i="6"/>
  <c r="L179" i="6" s="1" a="1"/>
  <c r="L179" i="6" s="1"/>
  <c r="K178" i="6"/>
  <c r="J178" i="6"/>
  <c r="I178" i="6"/>
  <c r="L178" i="6" s="1" a="1"/>
  <c r="L178" i="6" s="1"/>
  <c r="K177" i="6"/>
  <c r="J177" i="6"/>
  <c r="I177" i="6"/>
  <c r="L177" i="6" s="1" a="1"/>
  <c r="L177" i="6" s="1"/>
  <c r="K176" i="6"/>
  <c r="J176" i="6"/>
  <c r="I176" i="6"/>
  <c r="L176" i="6" s="1" a="1"/>
  <c r="L176" i="6" s="1"/>
  <c r="L175" i="6" a="1"/>
  <c r="L175" i="6" s="1"/>
  <c r="K175" i="6"/>
  <c r="J175" i="6"/>
  <c r="I175" i="6"/>
  <c r="K174" i="6"/>
  <c r="J174" i="6"/>
  <c r="I174" i="6"/>
  <c r="L174" i="6" s="1" a="1"/>
  <c r="L174" i="6" s="1"/>
  <c r="K173" i="6"/>
  <c r="J173" i="6"/>
  <c r="I173" i="6"/>
  <c r="L173" i="6" s="1" a="1"/>
  <c r="L173" i="6" s="1"/>
  <c r="K172" i="6"/>
  <c r="J172" i="6"/>
  <c r="I172" i="6"/>
  <c r="L172" i="6" s="1" a="1"/>
  <c r="L172" i="6" s="1"/>
  <c r="L171" i="6" a="1"/>
  <c r="L171" i="6" s="1"/>
  <c r="K171" i="6"/>
  <c r="J171" i="6"/>
  <c r="I171" i="6"/>
  <c r="K170" i="6"/>
  <c r="J170" i="6"/>
  <c r="I170" i="6"/>
  <c r="L170" i="6" s="1" a="1"/>
  <c r="L170" i="6" s="1"/>
  <c r="K169" i="6"/>
  <c r="J169" i="6"/>
  <c r="I169" i="6"/>
  <c r="L169" i="6" s="1" a="1"/>
  <c r="L169" i="6" s="1"/>
  <c r="K168" i="6"/>
  <c r="J168" i="6"/>
  <c r="I168" i="6"/>
  <c r="L168" i="6" s="1" a="1"/>
  <c r="L168" i="6" s="1"/>
  <c r="K167" i="6"/>
  <c r="J167" i="6"/>
  <c r="I167" i="6"/>
  <c r="L167" i="6" s="1" a="1"/>
  <c r="L167" i="6" s="1"/>
  <c r="K166" i="6"/>
  <c r="J166" i="6"/>
  <c r="I166" i="6"/>
  <c r="L166" i="6" s="1" a="1"/>
  <c r="L166" i="6" s="1"/>
  <c r="K165" i="6"/>
  <c r="J165" i="6"/>
  <c r="I165" i="6"/>
  <c r="L165" i="6" s="1" a="1"/>
  <c r="L165" i="6" s="1"/>
  <c r="K164" i="6"/>
  <c r="J164" i="6"/>
  <c r="I164" i="6"/>
  <c r="L164" i="6" s="1" a="1"/>
  <c r="L164" i="6" s="1"/>
  <c r="K163" i="6"/>
  <c r="J163" i="6"/>
  <c r="I163" i="6"/>
  <c r="L163" i="6" s="1" a="1"/>
  <c r="L163" i="6" s="1"/>
  <c r="K162" i="6"/>
  <c r="J162" i="6"/>
  <c r="I162" i="6"/>
  <c r="L162" i="6" s="1" a="1"/>
  <c r="L162" i="6" s="1"/>
  <c r="K161" i="6"/>
  <c r="J161" i="6"/>
  <c r="I161" i="6"/>
  <c r="L161" i="6" s="1" a="1"/>
  <c r="L161" i="6" s="1"/>
  <c r="K160" i="6"/>
  <c r="J160" i="6"/>
  <c r="I160" i="6"/>
  <c r="L160" i="6" s="1" a="1"/>
  <c r="L160" i="6" s="1"/>
  <c r="L159" i="6" a="1"/>
  <c r="L159" i="6" s="1"/>
  <c r="K159" i="6"/>
  <c r="J159" i="6"/>
  <c r="I159" i="6"/>
  <c r="K158" i="6"/>
  <c r="J158" i="6"/>
  <c r="I158" i="6"/>
  <c r="L158" i="6" s="1" a="1"/>
  <c r="L158" i="6" s="1"/>
  <c r="K157" i="6"/>
  <c r="J157" i="6"/>
  <c r="I157" i="6"/>
  <c r="L157" i="6" s="1" a="1"/>
  <c r="L157" i="6" s="1"/>
  <c r="K156" i="6"/>
  <c r="J156" i="6"/>
  <c r="I156" i="6"/>
  <c r="L156" i="6" s="1" a="1"/>
  <c r="L156" i="6" s="1"/>
  <c r="L155" i="6" a="1"/>
  <c r="L155" i="6" s="1"/>
  <c r="K155" i="6"/>
  <c r="J155" i="6"/>
  <c r="I155" i="6"/>
  <c r="K154" i="6"/>
  <c r="J154" i="6"/>
  <c r="I154" i="6"/>
  <c r="L154" i="6" s="1" a="1"/>
  <c r="L154" i="6" s="1"/>
  <c r="K153" i="6"/>
  <c r="J153" i="6"/>
  <c r="I153" i="6"/>
  <c r="L153" i="6" s="1" a="1"/>
  <c r="L153" i="6" s="1"/>
  <c r="K152" i="6"/>
  <c r="J152" i="6"/>
  <c r="I152" i="6"/>
  <c r="L152" i="6" s="1" a="1"/>
  <c r="L152" i="6" s="1"/>
  <c r="K151" i="6"/>
  <c r="J151" i="6"/>
  <c r="I151" i="6"/>
  <c r="L151" i="6" s="1" a="1"/>
  <c r="L151" i="6" s="1"/>
  <c r="K150" i="6"/>
  <c r="J150" i="6"/>
  <c r="I150" i="6"/>
  <c r="L150" i="6" s="1" a="1"/>
  <c r="L150" i="6" s="1"/>
  <c r="K149" i="6"/>
  <c r="J149" i="6"/>
  <c r="I149" i="6"/>
  <c r="L149" i="6" s="1" a="1"/>
  <c r="L149" i="6" s="1"/>
  <c r="K148" i="6"/>
  <c r="J148" i="6"/>
  <c r="I148" i="6"/>
  <c r="L148" i="6" s="1" a="1"/>
  <c r="L148" i="6" s="1"/>
  <c r="K147" i="6"/>
  <c r="J147" i="6"/>
  <c r="I147" i="6"/>
  <c r="L147" i="6" s="1" a="1"/>
  <c r="L147" i="6" s="1"/>
  <c r="K146" i="6"/>
  <c r="J146" i="6"/>
  <c r="I146" i="6"/>
  <c r="L146" i="6" s="1" a="1"/>
  <c r="L146" i="6" s="1"/>
  <c r="K145" i="6"/>
  <c r="J145" i="6"/>
  <c r="I145" i="6"/>
  <c r="L145" i="6" s="1" a="1"/>
  <c r="L145" i="6" s="1"/>
  <c r="K144" i="6"/>
  <c r="J144" i="6"/>
  <c r="I144" i="6"/>
  <c r="L144" i="6" s="1" a="1"/>
  <c r="L144" i="6" s="1"/>
  <c r="L143" i="6" a="1"/>
  <c r="L143" i="6" s="1"/>
  <c r="K143" i="6"/>
  <c r="J143" i="6"/>
  <c r="I143" i="6"/>
  <c r="K142" i="6"/>
  <c r="J142" i="6"/>
  <c r="I142" i="6"/>
  <c r="L142" i="6" s="1" a="1"/>
  <c r="L142" i="6" s="1"/>
  <c r="K141" i="6"/>
  <c r="J141" i="6"/>
  <c r="I141" i="6"/>
  <c r="L141" i="6" s="1" a="1"/>
  <c r="L141" i="6" s="1"/>
  <c r="K140" i="6"/>
  <c r="J140" i="6"/>
  <c r="I140" i="6"/>
  <c r="L140" i="6" s="1" a="1"/>
  <c r="L140" i="6" s="1"/>
  <c r="L139" i="6" a="1"/>
  <c r="L139" i="6" s="1"/>
  <c r="K139" i="6"/>
  <c r="J139" i="6"/>
  <c r="I139" i="6"/>
  <c r="K138" i="6"/>
  <c r="J138" i="6"/>
  <c r="I138" i="6"/>
  <c r="L138" i="6" s="1" a="1"/>
  <c r="L138" i="6" s="1"/>
  <c r="K137" i="6"/>
  <c r="J137" i="6"/>
  <c r="I137" i="6"/>
  <c r="L137" i="6" s="1" a="1"/>
  <c r="L137" i="6" s="1"/>
  <c r="K136" i="6"/>
  <c r="J136" i="6"/>
  <c r="I136" i="6"/>
  <c r="L136" i="6" s="1" a="1"/>
  <c r="L136" i="6" s="1"/>
  <c r="L135" i="6" a="1"/>
  <c r="L135" i="6" s="1"/>
  <c r="K135" i="6"/>
  <c r="J135" i="6"/>
  <c r="I135" i="6"/>
  <c r="K134" i="6"/>
  <c r="J134" i="6"/>
  <c r="I134" i="6"/>
  <c r="L134" i="6" s="1" a="1"/>
  <c r="L134" i="6" s="1"/>
  <c r="K133" i="6"/>
  <c r="J133" i="6"/>
  <c r="I133" i="6"/>
  <c r="L133" i="6" s="1" a="1"/>
  <c r="L133" i="6" s="1"/>
  <c r="K132" i="6"/>
  <c r="J132" i="6"/>
  <c r="I132" i="6"/>
  <c r="L132" i="6" s="1" a="1"/>
  <c r="L132" i="6" s="1"/>
  <c r="K131" i="6"/>
  <c r="J131" i="6"/>
  <c r="I131" i="6"/>
  <c r="L131" i="6" s="1" a="1"/>
  <c r="L131" i="6" s="1"/>
  <c r="K130" i="6"/>
  <c r="J130" i="6"/>
  <c r="I130" i="6"/>
  <c r="L130" i="6" s="1" a="1"/>
  <c r="L130" i="6" s="1"/>
  <c r="K129" i="6"/>
  <c r="J129" i="6"/>
  <c r="I129" i="6"/>
  <c r="L129" i="6" s="1" a="1"/>
  <c r="L129" i="6" s="1"/>
  <c r="K128" i="6"/>
  <c r="J128" i="6"/>
  <c r="I128" i="6"/>
  <c r="L128" i="6" s="1" a="1"/>
  <c r="L128" i="6" s="1"/>
  <c r="L127" i="6" a="1"/>
  <c r="L127" i="6" s="1"/>
  <c r="K127" i="6"/>
  <c r="J127" i="6"/>
  <c r="I127" i="6"/>
  <c r="K126" i="6"/>
  <c r="J126" i="6"/>
  <c r="I126" i="6"/>
  <c r="L126" i="6" s="1" a="1"/>
  <c r="L126" i="6" s="1"/>
  <c r="K125" i="6"/>
  <c r="J125" i="6"/>
  <c r="I125" i="6"/>
  <c r="L125" i="6" s="1" a="1"/>
  <c r="L125" i="6" s="1"/>
  <c r="L124" i="6" a="1"/>
  <c r="L124" i="6" s="1"/>
  <c r="K124" i="6"/>
  <c r="J124" i="6"/>
  <c r="I124" i="6"/>
  <c r="L123" i="6" a="1"/>
  <c r="L123" i="6" s="1"/>
  <c r="K123" i="6"/>
  <c r="J123" i="6"/>
  <c r="I123" i="6"/>
  <c r="K122" i="6"/>
  <c r="J122" i="6"/>
  <c r="I122" i="6"/>
  <c r="L122" i="6" s="1" a="1"/>
  <c r="L122" i="6" s="1"/>
  <c r="K121" i="6"/>
  <c r="J121" i="6"/>
  <c r="I121" i="6"/>
  <c r="L121" i="6" s="1" a="1"/>
  <c r="L121" i="6" s="1"/>
  <c r="L120" i="6" a="1"/>
  <c r="L120" i="6" s="1"/>
  <c r="K120" i="6"/>
  <c r="J120" i="6"/>
  <c r="I120" i="6"/>
  <c r="L119" i="6" a="1"/>
  <c r="L119" i="6" s="1"/>
  <c r="K119" i="6"/>
  <c r="J119" i="6"/>
  <c r="I119" i="6"/>
  <c r="L118" i="6" a="1"/>
  <c r="L118" i="6" s="1"/>
  <c r="K118" i="6"/>
  <c r="J118" i="6"/>
  <c r="I118" i="6"/>
  <c r="L117" i="6"/>
  <c r="K117" i="6"/>
  <c r="J117" i="6"/>
  <c r="I117" i="6"/>
  <c r="L117" i="6" s="1" a="1"/>
  <c r="L116" i="6" a="1"/>
  <c r="L116" i="6" s="1"/>
  <c r="K116" i="6"/>
  <c r="J116" i="6"/>
  <c r="I116" i="6"/>
  <c r="L115" i="6" a="1"/>
  <c r="L115" i="6" s="1"/>
  <c r="K115" i="6"/>
  <c r="J115" i="6"/>
  <c r="I115" i="6"/>
  <c r="L114" i="6" a="1"/>
  <c r="L114" i="6" s="1"/>
  <c r="K114" i="6"/>
  <c r="J114" i="6"/>
  <c r="I114" i="6"/>
  <c r="L113" i="6"/>
  <c r="K113" i="6"/>
  <c r="J113" i="6"/>
  <c r="I113" i="6"/>
  <c r="L113" i="6" s="1" a="1"/>
  <c r="L112" i="6" a="1"/>
  <c r="L112" i="6" s="1"/>
  <c r="K112" i="6"/>
  <c r="J112" i="6"/>
  <c r="I112" i="6"/>
  <c r="L111" i="6" a="1"/>
  <c r="L111" i="6" s="1"/>
  <c r="K111" i="6"/>
  <c r="J111" i="6"/>
  <c r="I111" i="6"/>
  <c r="K110" i="6"/>
  <c r="J110" i="6"/>
  <c r="I110" i="6"/>
  <c r="L110" i="6" s="1" a="1"/>
  <c r="L110" i="6" s="1"/>
  <c r="K109" i="6"/>
  <c r="J109" i="6"/>
  <c r="I109" i="6"/>
  <c r="L109" i="6" s="1" a="1"/>
  <c r="L109" i="6" s="1"/>
  <c r="L108" i="6" a="1"/>
  <c r="L108" i="6" s="1"/>
  <c r="K108" i="6"/>
  <c r="J108" i="6"/>
  <c r="I108" i="6"/>
  <c r="K107" i="6"/>
  <c r="J107" i="6"/>
  <c r="I107" i="6"/>
  <c r="L107" i="6" s="1" a="1"/>
  <c r="L107" i="6" s="1"/>
  <c r="L106" i="6" a="1"/>
  <c r="L106" i="6" s="1"/>
  <c r="K106" i="6"/>
  <c r="J106" i="6"/>
  <c r="I106" i="6"/>
  <c r="L105" i="6"/>
  <c r="K105" i="6"/>
  <c r="J105" i="6"/>
  <c r="I105" i="6"/>
  <c r="L105" i="6" s="1" a="1"/>
  <c r="L104" i="6" a="1"/>
  <c r="L104" i="6" s="1"/>
  <c r="K104" i="6"/>
  <c r="J104" i="6"/>
  <c r="I104" i="6"/>
  <c r="L103" i="6" a="1"/>
  <c r="L103" i="6" s="1"/>
  <c r="K103" i="6"/>
  <c r="J103" i="6"/>
  <c r="I103" i="6"/>
  <c r="K102" i="6"/>
  <c r="J102" i="6"/>
  <c r="I102" i="6"/>
  <c r="L102" i="6" s="1" a="1"/>
  <c r="L102" i="6" s="1"/>
  <c r="K101" i="6"/>
  <c r="J101" i="6"/>
  <c r="I101" i="6"/>
  <c r="L101" i="6" s="1" a="1"/>
  <c r="L101" i="6" s="1"/>
  <c r="K100" i="6"/>
  <c r="J100" i="6"/>
  <c r="I100" i="6"/>
  <c r="L100" i="6" s="1" a="1"/>
  <c r="L100" i="6" s="1"/>
  <c r="K99" i="6"/>
  <c r="J99" i="6"/>
  <c r="I99" i="6"/>
  <c r="L99" i="6" s="1" a="1"/>
  <c r="L99" i="6" s="1"/>
  <c r="L98" i="6" a="1"/>
  <c r="L98" i="6" s="1"/>
  <c r="K98" i="6"/>
  <c r="J98" i="6"/>
  <c r="I98" i="6"/>
  <c r="L97" i="6"/>
  <c r="K97" i="6"/>
  <c r="J97" i="6"/>
  <c r="I97" i="6"/>
  <c r="L97" i="6" s="1" a="1"/>
  <c r="L96" i="6" a="1"/>
  <c r="L96" i="6" s="1"/>
  <c r="K96" i="6"/>
  <c r="J96" i="6"/>
  <c r="I96" i="6"/>
  <c r="L95" i="6" a="1"/>
  <c r="L95" i="6" s="1"/>
  <c r="K95" i="6"/>
  <c r="J95" i="6"/>
  <c r="I95" i="6"/>
  <c r="K94" i="6"/>
  <c r="J94" i="6"/>
  <c r="I94" i="6"/>
  <c r="L94" i="6" s="1" a="1"/>
  <c r="L94" i="6" s="1"/>
  <c r="K93" i="6"/>
  <c r="J93" i="6"/>
  <c r="I93" i="6"/>
  <c r="L93" i="6" s="1" a="1"/>
  <c r="L93" i="6" s="1"/>
  <c r="L92" i="6" a="1"/>
  <c r="L92" i="6" s="1"/>
  <c r="K92" i="6"/>
  <c r="J92" i="6"/>
  <c r="I92" i="6"/>
  <c r="K91" i="6"/>
  <c r="J91" i="6"/>
  <c r="I91" i="6"/>
  <c r="L91" i="6" s="1" a="1"/>
  <c r="L91" i="6" s="1"/>
  <c r="K90" i="6"/>
  <c r="J90" i="6"/>
  <c r="I90" i="6"/>
  <c r="L90" i="6" s="1" a="1"/>
  <c r="L90" i="6" s="1"/>
  <c r="K89" i="6"/>
  <c r="J89" i="6"/>
  <c r="I89" i="6"/>
  <c r="L89" i="6" s="1" a="1"/>
  <c r="L89" i="6" s="1"/>
  <c r="K88" i="6"/>
  <c r="J88" i="6"/>
  <c r="I88" i="6"/>
  <c r="L88" i="6" s="1" a="1"/>
  <c r="L88" i="6" s="1"/>
  <c r="K87" i="6"/>
  <c r="J87" i="6"/>
  <c r="I87" i="6"/>
  <c r="L87" i="6" s="1" a="1"/>
  <c r="L87" i="6" s="1"/>
  <c r="K86" i="6"/>
  <c r="J86" i="6"/>
  <c r="I86" i="6"/>
  <c r="L86" i="6" s="1" a="1"/>
  <c r="L86" i="6" s="1"/>
  <c r="K85" i="6"/>
  <c r="J85" i="6"/>
  <c r="I85" i="6"/>
  <c r="L85" i="6" s="1" a="1"/>
  <c r="L85" i="6" s="1"/>
  <c r="L84" i="6" a="1"/>
  <c r="L84" i="6" s="1"/>
  <c r="K84" i="6"/>
  <c r="J84" i="6"/>
  <c r="I84" i="6"/>
  <c r="K83" i="6"/>
  <c r="J83" i="6"/>
  <c r="I83" i="6"/>
  <c r="L83" i="6" s="1" a="1"/>
  <c r="L83" i="6" s="1"/>
  <c r="L82" i="6" a="1"/>
  <c r="L82" i="6" s="1"/>
  <c r="K82" i="6"/>
  <c r="J82" i="6"/>
  <c r="I82" i="6"/>
  <c r="L81" i="6"/>
  <c r="K81" i="6"/>
  <c r="J81" i="6"/>
  <c r="I81" i="6"/>
  <c r="L81" i="6" s="1" a="1"/>
  <c r="L80" i="6" a="1"/>
  <c r="L80" i="6" s="1"/>
  <c r="K80" i="6"/>
  <c r="J80" i="6"/>
  <c r="I80" i="6"/>
  <c r="L79" i="6" a="1"/>
  <c r="L79" i="6" s="1"/>
  <c r="K79" i="6"/>
  <c r="J79" i="6"/>
  <c r="I79" i="6"/>
  <c r="K78" i="6"/>
  <c r="J78" i="6"/>
  <c r="I78" i="6"/>
  <c r="L78" i="6" s="1" a="1"/>
  <c r="L78" i="6" s="1"/>
  <c r="K77" i="6"/>
  <c r="J77" i="6"/>
  <c r="I77" i="6"/>
  <c r="L77" i="6" s="1" a="1"/>
  <c r="L77" i="6" s="1"/>
  <c r="L76" i="6" a="1"/>
  <c r="L76" i="6" s="1"/>
  <c r="K76" i="6"/>
  <c r="J76" i="6"/>
  <c r="I76" i="6"/>
  <c r="K75" i="6"/>
  <c r="J75" i="6"/>
  <c r="I75" i="6"/>
  <c r="L75" i="6" s="1" a="1"/>
  <c r="L75" i="6" s="1"/>
  <c r="L74" i="6" a="1"/>
  <c r="L74" i="6" s="1"/>
  <c r="K74" i="6"/>
  <c r="J74" i="6"/>
  <c r="I74" i="6"/>
  <c r="L73" i="6"/>
  <c r="K73" i="6"/>
  <c r="J73" i="6"/>
  <c r="I73" i="6"/>
  <c r="L73" i="6" s="1" a="1"/>
  <c r="L72" i="6" a="1"/>
  <c r="L72" i="6" s="1"/>
  <c r="K72" i="6"/>
  <c r="J72" i="6"/>
  <c r="I72" i="6"/>
  <c r="L71" i="6" a="1"/>
  <c r="L71" i="6" s="1"/>
  <c r="K71" i="6"/>
  <c r="J71" i="6"/>
  <c r="I71" i="6"/>
  <c r="K70" i="6"/>
  <c r="J70" i="6"/>
  <c r="I70" i="6"/>
  <c r="L70" i="6" s="1" a="1"/>
  <c r="L70" i="6" s="1"/>
  <c r="K69" i="6"/>
  <c r="J69" i="6"/>
  <c r="I69" i="6"/>
  <c r="L69" i="6" s="1" a="1"/>
  <c r="L69" i="6" s="1"/>
  <c r="K68" i="6"/>
  <c r="J68" i="6"/>
  <c r="I68" i="6"/>
  <c r="L68" i="6" s="1" a="1"/>
  <c r="L68" i="6" s="1"/>
  <c r="K67" i="6"/>
  <c r="J67" i="6"/>
  <c r="I67" i="6"/>
  <c r="L67" i="6" s="1" a="1"/>
  <c r="L67" i="6" s="1"/>
  <c r="L66" i="6" a="1"/>
  <c r="L66" i="6" s="1"/>
  <c r="K66" i="6"/>
  <c r="J66" i="6"/>
  <c r="I66" i="6"/>
  <c r="L65" i="6"/>
  <c r="K65" i="6"/>
  <c r="J65" i="6"/>
  <c r="I65" i="6"/>
  <c r="L65" i="6" s="1" a="1"/>
  <c r="L64" i="6" a="1"/>
  <c r="L64" i="6" s="1"/>
  <c r="K64" i="6"/>
  <c r="J64" i="6"/>
  <c r="I64" i="6"/>
  <c r="L63" i="6" a="1"/>
  <c r="L63" i="6" s="1"/>
  <c r="K63" i="6"/>
  <c r="J63" i="6"/>
  <c r="I63" i="6"/>
  <c r="K62" i="6"/>
  <c r="J62" i="6"/>
  <c r="I62" i="6"/>
  <c r="L62" i="6" s="1" a="1"/>
  <c r="L62" i="6" s="1"/>
  <c r="K61" i="6"/>
  <c r="J61" i="6"/>
  <c r="I61" i="6"/>
  <c r="L61" i="6" s="1" a="1"/>
  <c r="L61" i="6" s="1"/>
  <c r="L60" i="6" a="1"/>
  <c r="L60" i="6" s="1"/>
  <c r="K60" i="6"/>
  <c r="J60" i="6"/>
  <c r="I60" i="6"/>
  <c r="K59" i="6"/>
  <c r="J59" i="6"/>
  <c r="I59" i="6"/>
  <c r="L59" i="6" s="1" a="1"/>
  <c r="L59" i="6" s="1"/>
  <c r="K58" i="6"/>
  <c r="J58" i="6"/>
  <c r="I58" i="6"/>
  <c r="L58" i="6" s="1" a="1"/>
  <c r="L58" i="6" s="1"/>
  <c r="K57" i="6"/>
  <c r="J57" i="6"/>
  <c r="I57" i="6"/>
  <c r="L57" i="6" s="1" a="1"/>
  <c r="L57" i="6" s="1"/>
  <c r="K56" i="6"/>
  <c r="J56" i="6"/>
  <c r="I56" i="6"/>
  <c r="L56" i="6" s="1" a="1"/>
  <c r="L56" i="6" s="1"/>
  <c r="K55" i="6"/>
  <c r="J55" i="6"/>
  <c r="I55" i="6"/>
  <c r="L55" i="6" s="1" a="1"/>
  <c r="L55" i="6" s="1"/>
  <c r="K54" i="6"/>
  <c r="J54" i="6"/>
  <c r="I54" i="6"/>
  <c r="L54" i="6" s="1" a="1"/>
  <c r="L54" i="6" s="1"/>
  <c r="K53" i="6"/>
  <c r="J53" i="6"/>
  <c r="I53" i="6"/>
  <c r="L53" i="6" s="1" a="1"/>
  <c r="L53" i="6" s="1"/>
  <c r="L52" i="6" a="1"/>
  <c r="L52" i="6" s="1"/>
  <c r="K52" i="6"/>
  <c r="J52" i="6"/>
  <c r="I52" i="6"/>
  <c r="K51" i="6"/>
  <c r="J51" i="6"/>
  <c r="I51" i="6"/>
  <c r="L51" i="6" s="1" a="1"/>
  <c r="L51" i="6" s="1"/>
  <c r="L50" i="6" a="1"/>
  <c r="L50" i="6" s="1"/>
  <c r="K50" i="6"/>
  <c r="J50" i="6"/>
  <c r="I50" i="6"/>
  <c r="L49" i="6"/>
  <c r="K49" i="6"/>
  <c r="J49" i="6"/>
  <c r="I49" i="6"/>
  <c r="L49" i="6" s="1" a="1"/>
  <c r="L48" i="6" a="1"/>
  <c r="L48" i="6" s="1"/>
  <c r="K48" i="6"/>
  <c r="J48" i="6"/>
  <c r="I48" i="6"/>
  <c r="L47" i="6" a="1"/>
  <c r="L47" i="6" s="1"/>
  <c r="K47" i="6"/>
  <c r="J47" i="6"/>
  <c r="I47" i="6"/>
  <c r="K46" i="6"/>
  <c r="J46" i="6"/>
  <c r="I46" i="6"/>
  <c r="L46" i="6" s="1" a="1"/>
  <c r="L46" i="6" s="1"/>
  <c r="K45" i="6"/>
  <c r="J45" i="6"/>
  <c r="I45" i="6"/>
  <c r="L45" i="6" s="1" a="1"/>
  <c r="L45" i="6" s="1"/>
  <c r="L44" i="6" a="1"/>
  <c r="L44" i="6" s="1"/>
  <c r="K44" i="6"/>
  <c r="J44" i="6"/>
  <c r="I44" i="6"/>
  <c r="K43" i="6"/>
  <c r="J43" i="6"/>
  <c r="I43" i="6"/>
  <c r="L43" i="6" s="1" a="1"/>
  <c r="L43" i="6" s="1"/>
  <c r="L42" i="6" a="1"/>
  <c r="L42" i="6" s="1"/>
  <c r="K42" i="6"/>
  <c r="J42" i="6"/>
  <c r="I42" i="6"/>
  <c r="L41" i="6"/>
  <c r="K41" i="6"/>
  <c r="J41" i="6"/>
  <c r="I41" i="6"/>
  <c r="L41" i="6" s="1" a="1"/>
  <c r="L40" i="6" a="1"/>
  <c r="L40" i="6" s="1"/>
  <c r="K40" i="6"/>
  <c r="J40" i="6"/>
  <c r="I40" i="6"/>
  <c r="L39" i="6" a="1"/>
  <c r="L39" i="6" s="1"/>
  <c r="K39" i="6"/>
  <c r="J39" i="6"/>
  <c r="I39" i="6"/>
  <c r="K38" i="6"/>
  <c r="J38" i="6"/>
  <c r="I38" i="6"/>
  <c r="L38" i="6" s="1" a="1"/>
  <c r="L38" i="6" s="1"/>
  <c r="K37" i="6"/>
  <c r="J37" i="6"/>
  <c r="I37" i="6"/>
  <c r="L37" i="6" s="1" a="1"/>
  <c r="L37" i="6" s="1"/>
  <c r="K36" i="6"/>
  <c r="J36" i="6"/>
  <c r="I36" i="6"/>
  <c r="L36" i="6" s="1" a="1"/>
  <c r="L36" i="6" s="1"/>
  <c r="K35" i="6"/>
  <c r="J35" i="6"/>
  <c r="I35" i="6"/>
  <c r="L35" i="6" s="1" a="1"/>
  <c r="L35" i="6" s="1"/>
  <c r="L34" i="6" a="1"/>
  <c r="L34" i="6" s="1"/>
  <c r="K34" i="6"/>
  <c r="J34" i="6"/>
  <c r="I34" i="6"/>
  <c r="L33" i="6"/>
  <c r="K33" i="6"/>
  <c r="J33" i="6"/>
  <c r="I33" i="6"/>
  <c r="L33" i="6" s="1" a="1"/>
  <c r="L32" i="6" a="1"/>
  <c r="L32" i="6" s="1"/>
  <c r="K32" i="6"/>
  <c r="J32" i="6"/>
  <c r="I32" i="6"/>
  <c r="L31" i="6" a="1"/>
  <c r="L31" i="6" s="1"/>
  <c r="K31" i="6"/>
  <c r="J31" i="6"/>
  <c r="I31" i="6"/>
  <c r="K30" i="6"/>
  <c r="J30" i="6"/>
  <c r="I30" i="6"/>
  <c r="L30" i="6" s="1" a="1"/>
  <c r="L30" i="6" s="1"/>
  <c r="K29" i="6"/>
  <c r="J29" i="6"/>
  <c r="I29" i="6"/>
  <c r="L29" i="6" s="1" a="1"/>
  <c r="L29" i="6" s="1"/>
  <c r="L28" i="6" a="1"/>
  <c r="L28" i="6" s="1"/>
  <c r="K28" i="6"/>
  <c r="J28" i="6"/>
  <c r="I28" i="6"/>
  <c r="K27" i="6"/>
  <c r="J27" i="6"/>
  <c r="I27" i="6"/>
  <c r="L27" i="6" s="1" a="1"/>
  <c r="L27" i="6" s="1"/>
  <c r="K26" i="6"/>
  <c r="J26" i="6"/>
  <c r="I26" i="6"/>
  <c r="L26" i="6" s="1" a="1"/>
  <c r="L26" i="6" s="1"/>
  <c r="K25" i="6"/>
  <c r="J25" i="6"/>
  <c r="I25" i="6"/>
  <c r="L25" i="6" s="1" a="1"/>
  <c r="L25" i="6" s="1"/>
  <c r="K24" i="6"/>
  <c r="J24" i="6"/>
  <c r="I24" i="6"/>
  <c r="L24" i="6" s="1" a="1"/>
  <c r="L24" i="6" s="1"/>
  <c r="K23" i="6"/>
  <c r="J23" i="6"/>
  <c r="I23" i="6"/>
  <c r="L23" i="6" s="1" a="1"/>
  <c r="L23" i="6" s="1"/>
  <c r="K22" i="6"/>
  <c r="J22" i="6"/>
  <c r="I22" i="6"/>
  <c r="L22" i="6" s="1" a="1"/>
  <c r="L22" i="6" s="1"/>
  <c r="K21" i="6"/>
  <c r="J21" i="6"/>
  <c r="I21" i="6"/>
  <c r="L21" i="6" s="1" a="1"/>
  <c r="L21" i="6" s="1"/>
  <c r="K20" i="6"/>
  <c r="J20" i="6"/>
  <c r="I20" i="6"/>
  <c r="L20" i="6" s="1" a="1"/>
  <c r="L20" i="6" s="1"/>
  <c r="K19" i="6"/>
  <c r="J19" i="6"/>
  <c r="I19" i="6"/>
  <c r="L19" i="6" s="1" a="1"/>
  <c r="L19" i="6" s="1"/>
  <c r="K18" i="6"/>
  <c r="J18" i="6"/>
  <c r="I18" i="6"/>
  <c r="L18" i="6" s="1" a="1"/>
  <c r="L18" i="6" s="1"/>
  <c r="K17" i="6"/>
  <c r="J17" i="6"/>
  <c r="I17" i="6"/>
  <c r="L17" i="6" s="1" a="1"/>
  <c r="L17" i="6" s="1"/>
  <c r="K16" i="6"/>
  <c r="J16" i="6"/>
  <c r="I16" i="6"/>
  <c r="L16" i="6" s="1" a="1"/>
  <c r="L16" i="6" s="1"/>
  <c r="K15" i="6"/>
  <c r="J15" i="6"/>
  <c r="I15" i="6"/>
  <c r="L15" i="6" s="1" a="1"/>
  <c r="L15" i="6" s="1"/>
  <c r="L14" i="6" a="1"/>
  <c r="L14" i="6" s="1"/>
  <c r="K14" i="6"/>
  <c r="J14" i="6"/>
  <c r="I14" i="6"/>
  <c r="L13" i="6" a="1"/>
  <c r="L13" i="6" s="1"/>
  <c r="K13" i="6"/>
  <c r="J13" i="6"/>
  <c r="I13" i="6"/>
  <c r="K12" i="6"/>
  <c r="J12" i="6"/>
  <c r="I12" i="6"/>
  <c r="L12" i="6" s="1" a="1"/>
  <c r="L12" i="6" s="1"/>
  <c r="K11" i="6"/>
  <c r="J11" i="6"/>
  <c r="I11" i="6"/>
  <c r="L11" i="6" s="1" a="1"/>
  <c r="L11" i="6" s="1"/>
  <c r="K10" i="6"/>
  <c r="J10" i="6"/>
  <c r="I10" i="6"/>
  <c r="L10" i="6" s="1" a="1"/>
  <c r="L10" i="6" s="1"/>
  <c r="K9" i="6"/>
  <c r="J9" i="6"/>
  <c r="I9" i="6"/>
  <c r="L9" i="6" s="1" a="1"/>
  <c r="L9" i="6" s="1"/>
  <c r="K8" i="6"/>
  <c r="J8" i="6"/>
  <c r="I8" i="6"/>
  <c r="L8" i="6" s="1" a="1"/>
  <c r="L8" i="6" s="1"/>
  <c r="K7" i="6"/>
  <c r="J7" i="6"/>
  <c r="I7" i="6"/>
  <c r="L7" i="6" s="1" a="1"/>
  <c r="L7" i="6" s="1"/>
  <c r="L6" i="6" a="1"/>
  <c r="L6" i="6" s="1"/>
  <c r="K6" i="6"/>
  <c r="J6" i="6"/>
  <c r="I6" i="6"/>
  <c r="L5" i="6" a="1"/>
  <c r="L5" i="6" s="1"/>
  <c r="K5" i="6"/>
  <c r="J5" i="6"/>
  <c r="I5" i="6"/>
  <c r="K4" i="6"/>
  <c r="J4" i="6"/>
  <c r="I4" i="6"/>
  <c r="L4" i="6" s="1" a="1"/>
  <c r="L4" i="6" s="1"/>
  <c r="K3" i="6"/>
  <c r="J3" i="6"/>
  <c r="I3" i="6"/>
  <c r="L3" i="6" s="1" a="1"/>
  <c r="L3" i="6" s="1"/>
  <c r="K2" i="6"/>
  <c r="J2" i="6"/>
  <c r="I2" i="6"/>
  <c r="L2" i="6" s="1" a="1"/>
  <c r="L2" i="6" s="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I4" i="1"/>
  <c r="L4" i="1" s="1" a="1"/>
  <c r="L4" i="1" s="1"/>
  <c r="I5" i="1"/>
  <c r="L5" i="1" s="1" a="1"/>
  <c r="L5" i="1" s="1"/>
  <c r="I6" i="1"/>
  <c r="L6" i="1" s="1" a="1"/>
  <c r="L6" i="1" s="1"/>
  <c r="I7" i="1"/>
  <c r="L7" i="1" s="1" a="1"/>
  <c r="L7" i="1" s="1"/>
  <c r="I8" i="1"/>
  <c r="L8" i="1" s="1" a="1"/>
  <c r="L8" i="1" s="1"/>
  <c r="I9" i="1"/>
  <c r="L9" i="1" s="1" a="1"/>
  <c r="L9" i="1" s="1"/>
  <c r="I10" i="1"/>
  <c r="L10" i="1" s="1" a="1"/>
  <c r="L10" i="1" s="1"/>
  <c r="I11" i="1"/>
  <c r="L11" i="1" s="1" a="1"/>
  <c r="L11" i="1" s="1"/>
  <c r="I12" i="1"/>
  <c r="L12" i="1" s="1" a="1"/>
  <c r="L12" i="1" s="1"/>
  <c r="I13" i="1"/>
  <c r="L13" i="1" s="1" a="1"/>
  <c r="L13" i="1" s="1"/>
  <c r="I14" i="1"/>
  <c r="L14" i="1" s="1" a="1"/>
  <c r="L14" i="1" s="1"/>
  <c r="I15" i="1"/>
  <c r="L15" i="1" s="1" a="1"/>
  <c r="L15" i="1" s="1"/>
  <c r="I16" i="1"/>
  <c r="L16" i="1" s="1" a="1"/>
  <c r="L16" i="1" s="1"/>
  <c r="I17" i="1"/>
  <c r="L17" i="1" s="1" a="1"/>
  <c r="L17" i="1" s="1"/>
  <c r="I18" i="1"/>
  <c r="L18" i="1" s="1" a="1"/>
  <c r="L18" i="1" s="1"/>
  <c r="I19" i="1"/>
  <c r="L19" i="1" s="1" a="1"/>
  <c r="L19" i="1" s="1"/>
  <c r="I20" i="1"/>
  <c r="L20" i="1" s="1" a="1"/>
  <c r="L20" i="1" s="1"/>
  <c r="I21" i="1"/>
  <c r="L21" i="1" s="1" a="1"/>
  <c r="L21" i="1" s="1"/>
  <c r="I22" i="1"/>
  <c r="L22" i="1" s="1" a="1"/>
  <c r="L22" i="1" s="1"/>
  <c r="I23" i="1"/>
  <c r="L23" i="1" s="1" a="1"/>
  <c r="L23" i="1" s="1"/>
  <c r="I24" i="1"/>
  <c r="L24" i="1" s="1" a="1"/>
  <c r="L24" i="1" s="1"/>
  <c r="I25" i="1"/>
  <c r="L25" i="1" s="1" a="1"/>
  <c r="L25" i="1" s="1"/>
  <c r="I26" i="1"/>
  <c r="L26" i="1" s="1" a="1"/>
  <c r="L26" i="1" s="1"/>
  <c r="I27" i="1"/>
  <c r="L27" i="1" s="1" a="1"/>
  <c r="L27" i="1" s="1"/>
  <c r="I28" i="1"/>
  <c r="L28" i="1" s="1" a="1"/>
  <c r="L28" i="1" s="1"/>
  <c r="I29" i="1"/>
  <c r="L29" i="1" s="1" a="1"/>
  <c r="L29" i="1" s="1"/>
  <c r="I30" i="1"/>
  <c r="L30" i="1" s="1" a="1"/>
  <c r="L30" i="1" s="1"/>
  <c r="I31" i="1"/>
  <c r="L31" i="1" s="1" a="1"/>
  <c r="L31" i="1" s="1"/>
  <c r="I32" i="1"/>
  <c r="L32" i="1" s="1" a="1"/>
  <c r="L32" i="1" s="1"/>
  <c r="I33" i="1"/>
  <c r="L33" i="1" s="1" a="1"/>
  <c r="L33" i="1" s="1"/>
  <c r="I34" i="1"/>
  <c r="L34" i="1" s="1" a="1"/>
  <c r="L34" i="1" s="1"/>
  <c r="I35" i="1"/>
  <c r="L35" i="1" s="1" a="1"/>
  <c r="L35" i="1" s="1"/>
  <c r="I36" i="1"/>
  <c r="L36" i="1" s="1" a="1"/>
  <c r="L36" i="1" s="1"/>
  <c r="I37" i="1"/>
  <c r="L37" i="1" s="1" a="1"/>
  <c r="L37" i="1" s="1"/>
  <c r="I38" i="1"/>
  <c r="L38" i="1" s="1" a="1"/>
  <c r="L38" i="1" s="1"/>
  <c r="I39" i="1"/>
  <c r="L39" i="1" s="1" a="1"/>
  <c r="L39" i="1" s="1"/>
  <c r="I40" i="1"/>
  <c r="L40" i="1" s="1" a="1"/>
  <c r="L40" i="1" s="1"/>
  <c r="I41" i="1"/>
  <c r="L41" i="1" s="1" a="1"/>
  <c r="L41" i="1" s="1"/>
  <c r="I42" i="1"/>
  <c r="L42" i="1" s="1" a="1"/>
  <c r="L42" i="1" s="1"/>
  <c r="I43" i="1"/>
  <c r="L43" i="1" s="1" a="1"/>
  <c r="L43" i="1" s="1"/>
  <c r="I44" i="1"/>
  <c r="L44" i="1" s="1" a="1"/>
  <c r="L44" i="1" s="1"/>
  <c r="I45" i="1"/>
  <c r="L45" i="1" s="1" a="1"/>
  <c r="L45" i="1" s="1"/>
  <c r="I46" i="1"/>
  <c r="L46" i="1" s="1" a="1"/>
  <c r="L46" i="1" s="1"/>
  <c r="I47" i="1"/>
  <c r="L47" i="1" s="1" a="1"/>
  <c r="L47" i="1" s="1"/>
  <c r="I48" i="1"/>
  <c r="L48" i="1" s="1" a="1"/>
  <c r="L48" i="1" s="1"/>
  <c r="I49" i="1"/>
  <c r="L49" i="1" s="1" a="1"/>
  <c r="L49" i="1" s="1"/>
  <c r="I50" i="1"/>
  <c r="L50" i="1" s="1" a="1"/>
  <c r="L50" i="1" s="1"/>
  <c r="I51" i="1"/>
  <c r="L51" i="1" s="1" a="1"/>
  <c r="L51" i="1" s="1"/>
  <c r="I52" i="1"/>
  <c r="L52" i="1" s="1" a="1"/>
  <c r="L52" i="1" s="1"/>
  <c r="I53" i="1"/>
  <c r="L53" i="1" s="1" a="1"/>
  <c r="L53" i="1" s="1"/>
  <c r="I54" i="1"/>
  <c r="L54" i="1" s="1" a="1"/>
  <c r="L54" i="1" s="1"/>
  <c r="I55" i="1"/>
  <c r="L55" i="1" s="1" a="1"/>
  <c r="L55" i="1" s="1"/>
  <c r="I56" i="1"/>
  <c r="L56" i="1" s="1" a="1"/>
  <c r="L56" i="1" s="1"/>
  <c r="I57" i="1"/>
  <c r="L57" i="1" s="1" a="1"/>
  <c r="L57" i="1" s="1"/>
  <c r="I58" i="1"/>
  <c r="L58" i="1" s="1" a="1"/>
  <c r="L58" i="1" s="1"/>
  <c r="I59" i="1"/>
  <c r="L59" i="1" s="1" a="1"/>
  <c r="L59" i="1" s="1"/>
  <c r="I60" i="1"/>
  <c r="L60" i="1" s="1" a="1"/>
  <c r="L60" i="1" s="1"/>
  <c r="I61" i="1"/>
  <c r="L61" i="1" s="1" a="1"/>
  <c r="L61" i="1" s="1"/>
  <c r="I62" i="1"/>
  <c r="L62" i="1" s="1" a="1"/>
  <c r="L62" i="1" s="1"/>
  <c r="I63" i="1"/>
  <c r="L63" i="1" s="1" a="1"/>
  <c r="L63" i="1" s="1"/>
  <c r="I64" i="1"/>
  <c r="L64" i="1" s="1" a="1"/>
  <c r="L64" i="1" s="1"/>
  <c r="I65" i="1"/>
  <c r="L65" i="1" s="1" a="1"/>
  <c r="L65" i="1" s="1"/>
  <c r="I66" i="1"/>
  <c r="L66" i="1" s="1" a="1"/>
  <c r="L66" i="1" s="1"/>
  <c r="I67" i="1"/>
  <c r="L67" i="1" s="1" a="1"/>
  <c r="L67" i="1" s="1"/>
  <c r="I68" i="1"/>
  <c r="L68" i="1" s="1" a="1"/>
  <c r="L68" i="1" s="1"/>
  <c r="I69" i="1"/>
  <c r="L69" i="1" s="1" a="1"/>
  <c r="L69" i="1" s="1"/>
  <c r="I70" i="1"/>
  <c r="L70" i="1" s="1" a="1"/>
  <c r="L70" i="1" s="1"/>
  <c r="I71" i="1"/>
  <c r="L71" i="1" s="1" a="1"/>
  <c r="L71" i="1" s="1"/>
  <c r="I72" i="1"/>
  <c r="L72" i="1" s="1" a="1"/>
  <c r="L72" i="1" s="1"/>
  <c r="I73" i="1"/>
  <c r="L73" i="1" s="1" a="1"/>
  <c r="L73" i="1" s="1"/>
  <c r="I74" i="1"/>
  <c r="L74" i="1" s="1" a="1"/>
  <c r="L74" i="1" s="1"/>
  <c r="I75" i="1"/>
  <c r="L75" i="1" s="1" a="1"/>
  <c r="L75" i="1" s="1"/>
  <c r="I76" i="1"/>
  <c r="L76" i="1" s="1" a="1"/>
  <c r="L76" i="1" s="1"/>
  <c r="I77" i="1"/>
  <c r="L77" i="1" s="1" a="1"/>
  <c r="L77" i="1" s="1"/>
  <c r="I78" i="1"/>
  <c r="L78" i="1" s="1" a="1"/>
  <c r="L78" i="1" s="1"/>
  <c r="I79" i="1"/>
  <c r="L79" i="1" s="1" a="1"/>
  <c r="L79" i="1" s="1"/>
  <c r="I80" i="1"/>
  <c r="L80" i="1" s="1" a="1"/>
  <c r="L80" i="1" s="1"/>
  <c r="I81" i="1"/>
  <c r="L81" i="1" s="1" a="1"/>
  <c r="L81" i="1" s="1"/>
  <c r="I82" i="1"/>
  <c r="L82" i="1" s="1" a="1"/>
  <c r="L82" i="1" s="1"/>
  <c r="I83" i="1"/>
  <c r="L83" i="1" s="1" a="1"/>
  <c r="L83" i="1" s="1"/>
  <c r="I84" i="1"/>
  <c r="L84" i="1" s="1" a="1"/>
  <c r="L84" i="1" s="1"/>
  <c r="I85" i="1"/>
  <c r="L85" i="1" s="1" a="1"/>
  <c r="L85" i="1" s="1"/>
  <c r="I86" i="1"/>
  <c r="L86" i="1" s="1" a="1"/>
  <c r="L86" i="1" s="1"/>
  <c r="I87" i="1"/>
  <c r="L87" i="1" s="1" a="1"/>
  <c r="L87" i="1" s="1"/>
  <c r="I88" i="1"/>
  <c r="L88" i="1" s="1" a="1"/>
  <c r="L88" i="1" s="1"/>
  <c r="I89" i="1"/>
  <c r="L89" i="1" s="1" a="1"/>
  <c r="L89" i="1" s="1"/>
  <c r="I90" i="1"/>
  <c r="L90" i="1" s="1" a="1"/>
  <c r="L90" i="1" s="1"/>
  <c r="I91" i="1"/>
  <c r="L91" i="1" s="1" a="1"/>
  <c r="L91" i="1" s="1"/>
  <c r="I92" i="1"/>
  <c r="L92" i="1" s="1" a="1"/>
  <c r="L92" i="1" s="1"/>
  <c r="I93" i="1"/>
  <c r="L93" i="1" s="1" a="1"/>
  <c r="L93" i="1" s="1"/>
  <c r="I94" i="1"/>
  <c r="L94" i="1" s="1" a="1"/>
  <c r="L94" i="1" s="1"/>
  <c r="I95" i="1"/>
  <c r="L95" i="1" s="1" a="1"/>
  <c r="L95" i="1" s="1"/>
  <c r="I96" i="1"/>
  <c r="L96" i="1" s="1" a="1"/>
  <c r="L96" i="1" s="1"/>
  <c r="I97" i="1"/>
  <c r="L97" i="1" s="1" a="1"/>
  <c r="L97" i="1" s="1"/>
  <c r="I98" i="1"/>
  <c r="L98" i="1" s="1" a="1"/>
  <c r="L98" i="1" s="1"/>
  <c r="I99" i="1"/>
  <c r="L99" i="1" s="1" a="1"/>
  <c r="L99" i="1" s="1"/>
  <c r="I100" i="1"/>
  <c r="L100" i="1" s="1" a="1"/>
  <c r="L100" i="1" s="1"/>
  <c r="I101" i="1"/>
  <c r="L101" i="1" s="1" a="1"/>
  <c r="L101" i="1" s="1"/>
  <c r="I102" i="1"/>
  <c r="L102" i="1" s="1" a="1"/>
  <c r="L102" i="1" s="1"/>
  <c r="I103" i="1"/>
  <c r="L103" i="1" s="1" a="1"/>
  <c r="L103" i="1" s="1"/>
  <c r="I104" i="1"/>
  <c r="L104" i="1" s="1" a="1"/>
  <c r="L104" i="1" s="1"/>
  <c r="I105" i="1"/>
  <c r="L105" i="1" s="1" a="1"/>
  <c r="L105" i="1" s="1"/>
  <c r="I106" i="1"/>
  <c r="L106" i="1" s="1" a="1"/>
  <c r="L106" i="1" s="1"/>
  <c r="I107" i="1"/>
  <c r="L107" i="1" s="1" a="1"/>
  <c r="L107" i="1" s="1"/>
  <c r="I108" i="1"/>
  <c r="L108" i="1" s="1" a="1"/>
  <c r="L108" i="1" s="1"/>
  <c r="I109" i="1"/>
  <c r="L109" i="1" s="1" a="1"/>
  <c r="L109" i="1" s="1"/>
  <c r="I110" i="1"/>
  <c r="L110" i="1" s="1" a="1"/>
  <c r="L110" i="1" s="1"/>
  <c r="I111" i="1"/>
  <c r="L111" i="1" s="1" a="1"/>
  <c r="L111" i="1" s="1"/>
  <c r="I112" i="1"/>
  <c r="L112" i="1" s="1" a="1"/>
  <c r="L112" i="1" s="1"/>
  <c r="I113" i="1"/>
  <c r="L113" i="1" s="1" a="1"/>
  <c r="L113" i="1" s="1"/>
  <c r="I114" i="1"/>
  <c r="L114" i="1" s="1" a="1"/>
  <c r="L114" i="1" s="1"/>
  <c r="I115" i="1"/>
  <c r="L115" i="1" s="1" a="1"/>
  <c r="L115" i="1" s="1"/>
  <c r="I116" i="1"/>
  <c r="L116" i="1" s="1" a="1"/>
  <c r="L116" i="1" s="1"/>
  <c r="I117" i="1"/>
  <c r="L117" i="1" s="1" a="1"/>
  <c r="L117" i="1" s="1"/>
  <c r="I118" i="1"/>
  <c r="L118" i="1" s="1" a="1"/>
  <c r="L118" i="1" s="1"/>
  <c r="I119" i="1"/>
  <c r="L119" i="1" s="1" a="1"/>
  <c r="L119" i="1" s="1"/>
  <c r="I120" i="1"/>
  <c r="L120" i="1" s="1" a="1"/>
  <c r="L120" i="1" s="1"/>
  <c r="I121" i="1"/>
  <c r="L121" i="1" s="1" a="1"/>
  <c r="L121" i="1" s="1"/>
  <c r="I122" i="1"/>
  <c r="L122" i="1" s="1" a="1"/>
  <c r="L122" i="1" s="1"/>
  <c r="I123" i="1"/>
  <c r="L123" i="1" s="1" a="1"/>
  <c r="L123" i="1" s="1"/>
  <c r="I124" i="1"/>
  <c r="L124" i="1" s="1" a="1"/>
  <c r="L124" i="1" s="1"/>
  <c r="I125" i="1"/>
  <c r="L125" i="1" s="1" a="1"/>
  <c r="L125" i="1" s="1"/>
  <c r="I126" i="1"/>
  <c r="L126" i="1" s="1" a="1"/>
  <c r="L126" i="1" s="1"/>
  <c r="I127" i="1"/>
  <c r="L127" i="1" s="1" a="1"/>
  <c r="L127" i="1" s="1"/>
  <c r="I128" i="1"/>
  <c r="L128" i="1" s="1" a="1"/>
  <c r="L128" i="1" s="1"/>
  <c r="I129" i="1"/>
  <c r="L129" i="1" s="1" a="1"/>
  <c r="L129" i="1" s="1"/>
  <c r="I130" i="1"/>
  <c r="L130" i="1" s="1" a="1"/>
  <c r="L130" i="1" s="1"/>
  <c r="I131" i="1"/>
  <c r="L131" i="1" s="1" a="1"/>
  <c r="L131" i="1" s="1"/>
  <c r="I132" i="1"/>
  <c r="L132" i="1" s="1" a="1"/>
  <c r="L132" i="1" s="1"/>
  <c r="I133" i="1"/>
  <c r="L133" i="1" s="1" a="1"/>
  <c r="L133" i="1" s="1"/>
  <c r="I134" i="1"/>
  <c r="L134" i="1" s="1" a="1"/>
  <c r="L134" i="1" s="1"/>
  <c r="I135" i="1"/>
  <c r="L135" i="1" s="1" a="1"/>
  <c r="L135" i="1" s="1"/>
  <c r="I136" i="1"/>
  <c r="L136" i="1" s="1" a="1"/>
  <c r="L136" i="1" s="1"/>
  <c r="I137" i="1"/>
  <c r="L137" i="1" s="1" a="1"/>
  <c r="L137" i="1" s="1"/>
  <c r="I138" i="1"/>
  <c r="L138" i="1" s="1" a="1"/>
  <c r="L138" i="1" s="1"/>
  <c r="I139" i="1"/>
  <c r="L139" i="1" s="1" a="1"/>
  <c r="L139" i="1" s="1"/>
  <c r="I140" i="1"/>
  <c r="L140" i="1" s="1" a="1"/>
  <c r="L140" i="1" s="1"/>
  <c r="I141" i="1"/>
  <c r="L141" i="1" s="1" a="1"/>
  <c r="L141" i="1" s="1"/>
  <c r="I142" i="1"/>
  <c r="L142" i="1" s="1" a="1"/>
  <c r="L142" i="1" s="1"/>
  <c r="I143" i="1"/>
  <c r="L143" i="1" s="1" a="1"/>
  <c r="L143" i="1" s="1"/>
  <c r="I144" i="1"/>
  <c r="L144" i="1" s="1" a="1"/>
  <c r="L144" i="1" s="1"/>
  <c r="I145" i="1"/>
  <c r="L145" i="1" s="1" a="1"/>
  <c r="L145" i="1" s="1"/>
  <c r="I146" i="1"/>
  <c r="L146" i="1" s="1" a="1"/>
  <c r="L146" i="1" s="1"/>
  <c r="I147" i="1"/>
  <c r="L147" i="1" s="1" a="1"/>
  <c r="L147" i="1" s="1"/>
  <c r="I148" i="1"/>
  <c r="L148" i="1" s="1" a="1"/>
  <c r="L148" i="1" s="1"/>
  <c r="I149" i="1"/>
  <c r="L149" i="1" s="1" a="1"/>
  <c r="L149" i="1" s="1"/>
  <c r="I150" i="1"/>
  <c r="L150" i="1" s="1" a="1"/>
  <c r="L150" i="1" s="1"/>
  <c r="I151" i="1"/>
  <c r="L151" i="1" s="1" a="1"/>
  <c r="L151" i="1" s="1"/>
  <c r="I152" i="1"/>
  <c r="L152" i="1" s="1" a="1"/>
  <c r="L152" i="1" s="1"/>
  <c r="I153" i="1"/>
  <c r="L153" i="1" s="1" a="1"/>
  <c r="L153" i="1" s="1"/>
  <c r="I154" i="1"/>
  <c r="L154" i="1" s="1" a="1"/>
  <c r="L154" i="1" s="1"/>
  <c r="I155" i="1"/>
  <c r="L155" i="1" s="1" a="1"/>
  <c r="L155" i="1" s="1"/>
  <c r="I156" i="1"/>
  <c r="L156" i="1" s="1" a="1"/>
  <c r="L156" i="1" s="1"/>
  <c r="I157" i="1"/>
  <c r="L157" i="1" s="1" a="1"/>
  <c r="L157" i="1" s="1"/>
  <c r="I158" i="1"/>
  <c r="L158" i="1" s="1" a="1"/>
  <c r="L158" i="1" s="1"/>
  <c r="I159" i="1"/>
  <c r="L159" i="1" s="1" a="1"/>
  <c r="L159" i="1" s="1"/>
  <c r="I160" i="1"/>
  <c r="L160" i="1" s="1" a="1"/>
  <c r="L160" i="1" s="1"/>
  <c r="I161" i="1"/>
  <c r="L161" i="1" s="1" a="1"/>
  <c r="L161" i="1" s="1"/>
  <c r="I162" i="1"/>
  <c r="L162" i="1" s="1" a="1"/>
  <c r="L162" i="1" s="1"/>
  <c r="I163" i="1"/>
  <c r="L163" i="1" s="1" a="1"/>
  <c r="L163" i="1" s="1"/>
  <c r="I164" i="1"/>
  <c r="L164" i="1" s="1" a="1"/>
  <c r="L164" i="1" s="1"/>
  <c r="I165" i="1"/>
  <c r="L165" i="1" s="1" a="1"/>
  <c r="L165" i="1" s="1"/>
  <c r="I166" i="1"/>
  <c r="L166" i="1" s="1" a="1"/>
  <c r="L166" i="1" s="1"/>
  <c r="I167" i="1"/>
  <c r="L167" i="1" s="1" a="1"/>
  <c r="L167" i="1" s="1"/>
  <c r="I168" i="1"/>
  <c r="L168" i="1" s="1" a="1"/>
  <c r="L168" i="1" s="1"/>
  <c r="I169" i="1"/>
  <c r="L169" i="1" s="1" a="1"/>
  <c r="L169" i="1" s="1"/>
  <c r="I170" i="1"/>
  <c r="L170" i="1" s="1" a="1"/>
  <c r="L170" i="1" s="1"/>
  <c r="I171" i="1"/>
  <c r="L171" i="1" s="1" a="1"/>
  <c r="L171" i="1" s="1"/>
  <c r="I172" i="1"/>
  <c r="L172" i="1" s="1" a="1"/>
  <c r="L172" i="1" s="1"/>
  <c r="I173" i="1"/>
  <c r="L173" i="1" s="1" a="1"/>
  <c r="L173" i="1" s="1"/>
  <c r="I174" i="1"/>
  <c r="L174" i="1" s="1" a="1"/>
  <c r="L174" i="1" s="1"/>
  <c r="I175" i="1"/>
  <c r="L175" i="1" s="1" a="1"/>
  <c r="L175" i="1" s="1"/>
  <c r="I176" i="1"/>
  <c r="L176" i="1" s="1" a="1"/>
  <c r="L176" i="1" s="1"/>
  <c r="I177" i="1"/>
  <c r="L177" i="1" s="1" a="1"/>
  <c r="L177" i="1" s="1"/>
  <c r="I178" i="1"/>
  <c r="L178" i="1" s="1" a="1"/>
  <c r="L178" i="1" s="1"/>
  <c r="I179" i="1"/>
  <c r="L179" i="1" s="1" a="1"/>
  <c r="L179" i="1" s="1"/>
  <c r="I180" i="1"/>
  <c r="L180" i="1" s="1" a="1"/>
  <c r="L180" i="1" s="1"/>
  <c r="I181" i="1"/>
  <c r="L181" i="1" s="1" a="1"/>
  <c r="L181" i="1" s="1"/>
  <c r="I182" i="1"/>
  <c r="L182" i="1" s="1" a="1"/>
  <c r="L182" i="1" s="1"/>
  <c r="I183" i="1"/>
  <c r="L183" i="1" s="1" a="1"/>
  <c r="L183" i="1" s="1"/>
  <c r="I184" i="1"/>
  <c r="L184" i="1" s="1" a="1"/>
  <c r="L184" i="1" s="1"/>
  <c r="I185" i="1"/>
  <c r="L185" i="1" s="1" a="1"/>
  <c r="L185" i="1" s="1"/>
  <c r="I186" i="1"/>
  <c r="L186" i="1" s="1" a="1"/>
  <c r="L186" i="1" s="1"/>
  <c r="I187" i="1"/>
  <c r="L187" i="1" s="1" a="1"/>
  <c r="L187" i="1" s="1"/>
  <c r="I188" i="1"/>
  <c r="L188" i="1" s="1" a="1"/>
  <c r="L188" i="1" s="1"/>
  <c r="K3" i="1"/>
  <c r="K2" i="1"/>
  <c r="J3" i="1"/>
  <c r="J2" i="1"/>
  <c r="I3" i="1"/>
  <c r="L3" i="1" s="1" a="1"/>
  <c r="L3" i="1" s="1"/>
  <c r="I2" i="1"/>
  <c r="L2" i="1" s="1" a="1"/>
  <c r="L2" i="1" s="1"/>
  <c r="O6" i="1" l="1" a="1"/>
  <c r="O6" i="1" s="1"/>
  <c r="A1" i="15" a="1"/>
  <c r="A1" i="15" s="1"/>
  <c r="C15" i="15"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<sst xmlns="http://schemas.openxmlformats.org/spreadsheetml/2006/main" count="1660" uniqueCount="223">
  <si>
    <t>Country/Region</t>
  </si>
  <si>
    <t>Confirmed</t>
  </si>
  <si>
    <t>Deaths</t>
  </si>
  <si>
    <t>Recovered</t>
  </si>
  <si>
    <t>Active</t>
  </si>
  <si>
    <t>Afghanistan</t>
  </si>
  <si>
    <t>Albania</t>
  </si>
  <si>
    <t>Algeria</t>
  </si>
  <si>
    <t>Andorra</t>
  </si>
  <si>
    <t>Angola</t>
  </si>
  <si>
    <t>Antigua and Barbuda</t>
  </si>
  <si>
    <t>Argentina</t>
  </si>
  <si>
    <t>Armenia</t>
  </si>
  <si>
    <t>Australia</t>
  </si>
  <si>
    <t>Austria</t>
  </si>
  <si>
    <t>Azerbaijan</t>
  </si>
  <si>
    <t>Bahamas</t>
  </si>
  <si>
    <t>Bahrain</t>
  </si>
  <si>
    <t>Bangladesh</t>
  </si>
  <si>
    <t>Barbados</t>
  </si>
  <si>
    <t>Belarus</t>
  </si>
  <si>
    <t>Belgium</t>
  </si>
  <si>
    <t>Belize</t>
  </si>
  <si>
    <t>Benin</t>
  </si>
  <si>
    <t>Bhutan</t>
  </si>
  <si>
    <t>Bolivia</t>
  </si>
  <si>
    <t>Bosnia and Herzegovina</t>
  </si>
  <si>
    <t>Botswana</t>
  </si>
  <si>
    <t>Brazil</t>
  </si>
  <si>
    <t>Brunei</t>
  </si>
  <si>
    <t>Bulgaria</t>
  </si>
  <si>
    <t>Burkina Faso</t>
  </si>
  <si>
    <t>Burundi</t>
  </si>
  <si>
    <t>Cabo Verde</t>
  </si>
  <si>
    <t>Cambodia</t>
  </si>
  <si>
    <t>Cameroon</t>
  </si>
  <si>
    <t>Canada</t>
  </si>
  <si>
    <t>Central African Republic</t>
  </si>
  <si>
    <t>Chad</t>
  </si>
  <si>
    <t>Chile</t>
  </si>
  <si>
    <t>China</t>
  </si>
  <si>
    <t>Colombia</t>
  </si>
  <si>
    <t>Comoros</t>
  </si>
  <si>
    <t>Congo (Brazzaville)</t>
  </si>
  <si>
    <t>Congo (Kinshasa)</t>
  </si>
  <si>
    <t>Costa Rica</t>
  </si>
  <si>
    <t>Cote d'Ivoire</t>
  </si>
  <si>
    <t>Croatia</t>
  </si>
  <si>
    <t>Cuba</t>
  </si>
  <si>
    <t>Cyprus</t>
  </si>
  <si>
    <t>Czechia</t>
  </si>
  <si>
    <t>Denmark</t>
  </si>
  <si>
    <t>Djibouti</t>
  </si>
  <si>
    <t>Dominica</t>
  </si>
  <si>
    <t>Dominican Republic</t>
  </si>
  <si>
    <t>Ecuador</t>
  </si>
  <si>
    <t>Egypt</t>
  </si>
  <si>
    <t>El Salvador</t>
  </si>
  <si>
    <t>Equatorial Guinea</t>
  </si>
  <si>
    <t>Eritrea</t>
  </si>
  <si>
    <t>Estonia</t>
  </si>
  <si>
    <t>Eswatini</t>
  </si>
  <si>
    <t>Ethiopia</t>
  </si>
  <si>
    <t>Fiji</t>
  </si>
  <si>
    <t>Finland</t>
  </si>
  <si>
    <t>France</t>
  </si>
  <si>
    <t>Gabon</t>
  </si>
  <si>
    <t>Gambia</t>
  </si>
  <si>
    <t>Georgia</t>
  </si>
  <si>
    <t>Germany</t>
  </si>
  <si>
    <t>Ghana</t>
  </si>
  <si>
    <t>Greece</t>
  </si>
  <si>
    <t>Greenland</t>
  </si>
  <si>
    <t>Grenada</t>
  </si>
  <si>
    <t>Guatemala</t>
  </si>
  <si>
    <t>Guinea</t>
  </si>
  <si>
    <t>Guinea-Bissau</t>
  </si>
  <si>
    <t>Guyana</t>
  </si>
  <si>
    <t>Haiti</t>
  </si>
  <si>
    <t>Holy See</t>
  </si>
  <si>
    <t>Honduras</t>
  </si>
  <si>
    <t>Hungary</t>
  </si>
  <si>
    <t>Iceland</t>
  </si>
  <si>
    <t>India</t>
  </si>
  <si>
    <t>Indonesia</t>
  </si>
  <si>
    <t>Iran</t>
  </si>
  <si>
    <t>Iraq</t>
  </si>
  <si>
    <t>Ireland</t>
  </si>
  <si>
    <t>Israel</t>
  </si>
  <si>
    <t>Italy</t>
  </si>
  <si>
    <t>Jamaica</t>
  </si>
  <si>
    <t>Japan</t>
  </si>
  <si>
    <t>Jordan</t>
  </si>
  <si>
    <t>Kazakhstan</t>
  </si>
  <si>
    <t>Kenya</t>
  </si>
  <si>
    <t>Kosovo</t>
  </si>
  <si>
    <t>Kuwait</t>
  </si>
  <si>
    <t>Kyrgyzstan</t>
  </si>
  <si>
    <t>Laos</t>
  </si>
  <si>
    <t>Latvia</t>
  </si>
  <si>
    <t>Lebanon</t>
  </si>
  <si>
    <t>Lesotho</t>
  </si>
  <si>
    <t>Liberia</t>
  </si>
  <si>
    <t>Libya</t>
  </si>
  <si>
    <t>Liechtenstein</t>
  </si>
  <si>
    <t>Lithuania</t>
  </si>
  <si>
    <t>Luxembourg</t>
  </si>
  <si>
    <t>Madagascar</t>
  </si>
  <si>
    <t>Malawi</t>
  </si>
  <si>
    <t>Malaysia</t>
  </si>
  <si>
    <t>Maldives</t>
  </si>
  <si>
    <t>Mali</t>
  </si>
  <si>
    <t>Malta</t>
  </si>
  <si>
    <t>Mauritania</t>
  </si>
  <si>
    <t>Mauritius</t>
  </si>
  <si>
    <t>Mexico</t>
  </si>
  <si>
    <t>Moldova</t>
  </si>
  <si>
    <t>Monaco</t>
  </si>
  <si>
    <t>Mongolia</t>
  </si>
  <si>
    <t>Montenegro</t>
  </si>
  <si>
    <t>Morocco</t>
  </si>
  <si>
    <t>Mozambique</t>
  </si>
  <si>
    <t>Namibia</t>
  </si>
  <si>
    <t>Nepal</t>
  </si>
  <si>
    <t>Netherlands</t>
  </si>
  <si>
    <t>New Zealand</t>
  </si>
  <si>
    <t>Nicaragua</t>
  </si>
  <si>
    <t>Niger</t>
  </si>
  <si>
    <t>Nigeria</t>
  </si>
  <si>
    <t>North Macedonia</t>
  </si>
  <si>
    <t>Norway</t>
  </si>
  <si>
    <t>Oman</t>
  </si>
  <si>
    <t>Pakistan</t>
  </si>
  <si>
    <t>Panama</t>
  </si>
  <si>
    <t>Papua New Guinea</t>
  </si>
  <si>
    <t>Paraguay</t>
  </si>
  <si>
    <t>Peru</t>
  </si>
  <si>
    <t>Philippines</t>
  </si>
  <si>
    <t>Poland</t>
  </si>
  <si>
    <t>Portugal</t>
  </si>
  <si>
    <t>Qatar</t>
  </si>
  <si>
    <t>Romania</t>
  </si>
  <si>
    <t>Russia</t>
  </si>
  <si>
    <t>Rwanda</t>
  </si>
  <si>
    <t>Saint Kitts and Nevis</t>
  </si>
  <si>
    <t>Saint Lucia</t>
  </si>
  <si>
    <t>Saint Vincent and the Grenadines</t>
  </si>
  <si>
    <t>San Marino</t>
  </si>
  <si>
    <t>Sao Tome and Principe</t>
  </si>
  <si>
    <t>Saudi Arabia</t>
  </si>
  <si>
    <t>Senegal</t>
  </si>
  <si>
    <t>Serbia</t>
  </si>
  <si>
    <t>Seychelles</t>
  </si>
  <si>
    <t>Sierra Leone</t>
  </si>
  <si>
    <t>Singapore</t>
  </si>
  <si>
    <t>Slovakia</t>
  </si>
  <si>
    <t>Slovenia</t>
  </si>
  <si>
    <t>Somalia</t>
  </si>
  <si>
    <t>South Africa</t>
  </si>
  <si>
    <t>South Korea</t>
  </si>
  <si>
    <t>South Sudan</t>
  </si>
  <si>
    <t>Spain</t>
  </si>
  <si>
    <t>Sri Lanka</t>
  </si>
  <si>
    <t>Sudan</t>
  </si>
  <si>
    <t>Suriname</t>
  </si>
  <si>
    <t>Sweden</t>
  </si>
  <si>
    <t>Switzerland</t>
  </si>
  <si>
    <t>Syria</t>
  </si>
  <si>
    <t>Tajikistan</t>
  </si>
  <si>
    <t>Tanzania</t>
  </si>
  <si>
    <t>Thailand</t>
  </si>
  <si>
    <t>Timor-Leste</t>
  </si>
  <si>
    <t>Togo</t>
  </si>
  <si>
    <t>Trinidad and Tobago</t>
  </si>
  <si>
    <t>Tunisia</t>
  </si>
  <si>
    <t>Turkey</t>
  </si>
  <si>
    <t>US</t>
  </si>
  <si>
    <t>Uganda</t>
  </si>
  <si>
    <t>Ukraine</t>
  </si>
  <si>
    <t>United Arab Emirates</t>
  </si>
  <si>
    <t>United Kingdom</t>
  </si>
  <si>
    <t>Uruguay</t>
  </si>
  <si>
    <t>Uzbekistan</t>
  </si>
  <si>
    <t>Venezuela</t>
  </si>
  <si>
    <t>Vietnam</t>
  </si>
  <si>
    <t>West Bank and Gaza</t>
  </si>
  <si>
    <t>Western Sahara</t>
  </si>
  <si>
    <t>Yemen</t>
  </si>
  <si>
    <t>Zambia</t>
  </si>
  <si>
    <t>Zimbabwe</t>
  </si>
  <si>
    <t>Taiwan</t>
  </si>
  <si>
    <t>Myanmar</t>
  </si>
  <si>
    <t>Population</t>
  </si>
  <si>
    <t>Continent</t>
  </si>
  <si>
    <t>Date of First Case</t>
  </si>
  <si>
    <t>Asia</t>
  </si>
  <si>
    <t>Europe</t>
  </si>
  <si>
    <t>Africa</t>
  </si>
  <si>
    <t>North America</t>
  </si>
  <si>
    <t>South America</t>
  </si>
  <si>
    <t>Australia/Oceania</t>
  </si>
  <si>
    <t>Death Rate (%)</t>
  </si>
  <si>
    <t>Recovery Rate (%)</t>
  </si>
  <si>
    <t>Infection Rate (%)</t>
  </si>
  <si>
    <t>Risk Impact</t>
  </si>
  <si>
    <t>Row Labels</t>
  </si>
  <si>
    <t>Grand Total</t>
  </si>
  <si>
    <t>Sum of Confirmed</t>
  </si>
  <si>
    <t>2019</t>
  </si>
  <si>
    <t>2020</t>
  </si>
  <si>
    <t>Qtr4</t>
  </si>
  <si>
    <t>Nov</t>
  </si>
  <si>
    <t>Dec</t>
  </si>
  <si>
    <t>Qtr1</t>
  </si>
  <si>
    <t>Qtr2</t>
  </si>
  <si>
    <t>Jan</t>
  </si>
  <si>
    <t>Feb</t>
  </si>
  <si>
    <t>Mar</t>
  </si>
  <si>
    <t>Apr</t>
  </si>
  <si>
    <t>May</t>
  </si>
  <si>
    <t>Sum of Death Rate (%)</t>
  </si>
  <si>
    <t>Avg. Recovery Rate by Continent</t>
  </si>
  <si>
    <t>Sum of Recovered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</si>
</sst>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409]d\-mmm\-yyyy;@"/>
    <numFmt numFmtId="165" formatCode="0.000%"/>
  </numFmts>
  <fonts count="6" x14ac:knownFonts="1">
    <font>
      <sz val="11"/>
      <color theme="1"/>
      <name val="Aptos Narrow"/>
      <family val="2"/>
      <scheme val="minor"/>
    </font>
    <font>
      <b/>
      <sz val="11"/>
      <color theme="0"/>
      <name val="Aptos Narrow"/>
      <family val="2"/>
      <scheme val="minor"/>
    </font>
    <font>
      <b/>
      <sz val="11"/>
      <color theme="0"/>
      <name val="Calibri"/>
      <family val="2"/>
    </font>
    <font>
      <sz val="8"/>
      <name val="Aptos Narrow"/>
      <family val="2"/>
      <scheme val="minor"/>
    </font>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2">
    <xf numFmtId="0" fontId="0" fillId="0" borderId="0"/>
    <xf numFmtId="9" fontId="4" fillId="0" borderId="0" applyFont="0" applyFill="0" applyBorder="0" applyAlignment="0" applyProtection="0"/>
  </cellStyleXfs>
  <cellXfs count="38">
    <xf numFmtId="0" fontId="0" fillId="0" borderId="0" xfId="0"/>
    <xf numFmtId="164" fontId="0" fillId="3" borderId="1" xfId="0" applyNumberFormat="1" applyFill="1" applyBorder="1" applyAlignment="1">
      <alignment horizontal="center" vertical="center"/>
    </xf>
    <xf numFmtId="0" fontId="0" fillId="0" borderId="0" xfId="0" applyAlignment="1">
      <alignment horizontal="center" vertical="center"/>
    </xf>
    <xf numFmtId="1" fontId="0" fillId="0" borderId="0" xfId="0" applyNumberFormat="1" applyAlignment="1">
      <alignment horizontal="center" vertical="center"/>
    </xf>
    <xf numFmtId="14" fontId="0" fillId="0" borderId="0" xfId="0" applyNumberFormat="1" applyAlignment="1">
      <alignment horizontal="center" vertical="center"/>
    </xf>
    <xf numFmtId="0" fontId="1" fillId="2" borderId="1" xfId="0" applyFont="1" applyFill="1" applyBorder="1" applyAlignment="1">
      <alignment horizontal="center" vertical="center"/>
    </xf>
    <xf numFmtId="1" fontId="1" fillId="2" borderId="1" xfId="0" applyNumberFormat="1" applyFont="1" applyFill="1" applyBorder="1" applyAlignment="1">
      <alignment horizontal="center" vertical="center"/>
    </xf>
    <xf numFmtId="14" fontId="2" fillId="2" borderId="1" xfId="0" applyNumberFormat="1" applyFont="1" applyFill="1" applyBorder="1" applyAlignment="1">
      <alignment horizontal="center" vertical="center"/>
    </xf>
    <xf numFmtId="0" fontId="0" fillId="3" borderId="1" xfId="0" applyFill="1" applyBorder="1" applyAlignment="1">
      <alignment horizontal="center" vertical="center"/>
    </xf>
    <xf numFmtId="0" fontId="0" fillId="0" borderId="1" xfId="0" applyBorder="1" applyAlignment="1">
      <alignment horizontal="center" vertical="center"/>
    </xf>
    <xf numFmtId="164" fontId="0" fillId="0" borderId="1" xfId="0" applyNumberFormat="1" applyBorder="1" applyAlignment="1">
      <alignment horizontal="center" vertical="center"/>
    </xf>
    <xf numFmtId="1" fontId="0" fillId="3" borderId="1" xfId="0" applyNumberFormat="1" applyFill="1" applyBorder="1" applyAlignment="1">
      <alignment horizontal="center" vertical="center"/>
    </xf>
    <xf numFmtId="1" fontId="0" fillId="0" borderId="1" xfId="0" applyNumberFormat="1" applyBorder="1" applyAlignment="1">
      <alignment horizontal="center" vertical="center"/>
    </xf>
    <xf numFmtId="3" fontId="0" fillId="0" borderId="1" xfId="0" applyNumberFormat="1" applyBorder="1" applyAlignment="1">
      <alignment horizontal="center" vertical="center"/>
    </xf>
    <xf numFmtId="165" fontId="0" fillId="3" borderId="1" xfId="1" applyNumberFormat="1" applyFont="1" applyFill="1" applyBorder="1" applyAlignment="1">
      <alignment horizontal="center" vertical="center"/>
    </xf>
    <xf numFmtId="165" fontId="0" fillId="0" borderId="1" xfId="1" applyNumberFormat="1" applyFont="1" applyBorder="1" applyAlignment="1">
      <alignment horizontal="center" vertical="center"/>
    </xf>
    <xf numFmtId="0" fontId="1" fillId="2" borderId="2" xfId="0" applyFont="1" applyFill="1" applyBorder="1" applyAlignment="1">
      <alignment horizontal="center" vertical="center"/>
    </xf>
    <xf numFmtId="165" fontId="0" fillId="3" borderId="2" xfId="1" applyNumberFormat="1" applyFont="1" applyFill="1" applyBorder="1" applyAlignment="1">
      <alignment horizontal="center" vertical="center"/>
    </xf>
    <xf numFmtId="165" fontId="0" fillId="0" borderId="2" xfId="1" applyNumberFormat="1" applyFont="1" applyBorder="1" applyAlignment="1">
      <alignment horizontal="center" vertical="center"/>
    </xf>
    <xf numFmtId="0" fontId="0" fillId="0" borderId="0" xfId="0" pivotButton="1"/>
    <xf numFmtId="0" fontId="0" fillId="0" borderId="0" xfId="0" applyAlignment="1">
      <alignment horizontal="left"/>
    </xf>
    <xf numFmtId="0" fontId="0" fillId="0" borderId="0" xfId="0" applyAlignment="1">
      <alignment horizontal="left" indent="1"/>
    </xf>
    <xf numFmtId="0" fontId="0" fillId="0" borderId="0" xfId="0" applyAlignment="1">
      <alignment horizontal="left" indent="2"/>
    </xf>
    <xf numFmtId="165" fontId="0" fillId="0" borderId="0" xfId="0" applyNumberFormat="1"/>
    <xf numFmtId="0" fontId="0" fillId="0" borderId="1" xfId="0" applyBorder="1"/>
    <xf numFmtId="0" fontId="5" fillId="0" borderId="0" xfId="0" applyFont="1"/>
    <xf numFmtId="10" fontId="0" fillId="0" borderId="0" xfId="1" applyNumberFormat="1" applyFont="1" applyAlignment="1">
      <alignment horizontal="center" vertical="center"/>
    </xf>
    <xf numFmtId="1" fontId="1" fillId="2" borderId="1" xfId="0" applyNumberFormat="1" applyFont="1" applyFill="1" applyBorder="1" applyAlignment="1">
      <alignment vertical="center"/>
    </xf>
    <xf numFmtId="0" fontId="0" fillId="0" borderId="3" xfId="0" applyBorder="1"/>
    <xf numFmtId="0" fontId="0" fillId="0" borderId="4" xfId="0" applyBorder="1"/>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0" xfId="0" applyNumberFormat="1"/>
  </cellXfs>
  <cellStyles count="2">
    <cellStyle name="Normal" xfId="0" builtinId="0"/>
    <cellStyle name="Percent" xfId="1" builtinId="5"/>
  </cellStyles>
  <dxfs count="7">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pivotCacheDefinition" Target="pivotCache/pivotCacheDefinition4.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2.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image" Target="../media/image1.jpeg"/><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1).xlsb.xlsx]Sheet1!PivotTable4</c:name>
    <c:fmtId val="2"/>
  </c:pivotSource>
  <c:chart>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col"/>
        <c:grouping val="clustered"/>
        <c:varyColors val="0"/>
        <c:ser>
          <c:idx val="0"/>
          <c:order val="0"/>
          <c:tx>
            <c:strRef>
              <c:f>Sheet1!$O$3</c:f>
              <c:strCache>
                <c:ptCount val="1"/>
                <c:pt idx="0">
                  <c:v>Sum of Confirmed</c:v>
                </c:pt>
              </c:strCache>
            </c:strRef>
          </c:tx>
          <c:spPr>
            <a:solidFill>
              <a:schemeClr val="accent1"/>
            </a:solidFill>
            <a:ln>
              <a:noFill/>
            </a:ln>
            <a:effectLst/>
          </c:spPr>
          <c:invertIfNegative val="0"/>
          <c:cat>
            <c:strRef>
              <c:f>Sheet1!$N$4:$N$14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Sheet1!$O$4:$O$14</c:f>
              <c:numCache>
                <c:formatCode>General</c:formatCode>
                <c:ptCount val="10"/>
                <c:pt idx="0">
                  <c:v>2442375</c:v>
                </c:pt>
                <c:pt idx="1">
                  <c:v>347923</c:v>
                </c:pt>
                <c:pt idx="2">
                  <c:v>1480073</c:v>
                </c:pt>
                <c:pt idx="3">
                  <c:v>293606</c:v>
                </c:pt>
                <c:pt idx="4">
                  <c:v>395489</c:v>
                </c:pt>
                <c:pt idx="5">
                  <c:v>389717</c:v>
                </c:pt>
                <c:pt idx="6">
                  <c:v>816680</c:v>
                </c:pt>
                <c:pt idx="7">
                  <c:v>452529</c:v>
                </c:pt>
                <c:pt idx="8">
                  <c:v>301708</c:v>
                </c:pt>
                <c:pt idx="9">
                  <c:v>4290259</c:v>
                </c:pt>
              </c:numCache>
            </c:numRef>
          </c:val>
          <c:extLst>
            <c:ext xmlns:c16="http://schemas.microsoft.com/office/drawing/2014/chart" uri="{C3380CC4-5D6E-409C-BE32-E72D297353CC}">
              <c16:uniqueId val="{00000000-9659-4F23-BD3C-F12F1D074658}"/>
            </c:ext>
          </c:extLst>
        </c:ser>
        <c:ser>
          <c:idx val="1"/>
          <c:order val="1"/>
          <c:tx>
            <c:strRef>
              <c:f>Sheet1!$P$3</c:f>
              <c:strCache>
                <c:ptCount val="1"/>
                <c:pt idx="0">
                  <c:v>Sum of Recovered</c:v>
                </c:pt>
              </c:strCache>
            </c:strRef>
          </c:tx>
          <c:spPr>
            <a:solidFill>
              <a:schemeClr val="accent2"/>
            </a:solidFill>
            <a:ln>
              <a:noFill/>
            </a:ln>
            <a:effectLst/>
          </c:spPr>
          <c:invertIfNegative val="0"/>
          <c:cat>
            <c:strRef>
              <c:f>Sheet1!$N$4:$N$14</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Sheet1!$P$4:$P$14</c:f>
              <c:numCache>
                <c:formatCode>General</c:formatCode>
                <c:ptCount val="10"/>
                <c:pt idx="0">
                  <c:v>1846641</c:v>
                </c:pt>
                <c:pt idx="1">
                  <c:v>319954</c:v>
                </c:pt>
                <c:pt idx="2">
                  <c:v>951166</c:v>
                </c:pt>
                <c:pt idx="3">
                  <c:v>255144</c:v>
                </c:pt>
                <c:pt idx="4">
                  <c:v>303810</c:v>
                </c:pt>
                <c:pt idx="5">
                  <c:v>272547</c:v>
                </c:pt>
                <c:pt idx="6">
                  <c:v>602249</c:v>
                </c:pt>
                <c:pt idx="7">
                  <c:v>274925</c:v>
                </c:pt>
                <c:pt idx="8">
                  <c:v>1437</c:v>
                </c:pt>
                <c:pt idx="9">
                  <c:v>1325804</c:v>
                </c:pt>
              </c:numCache>
            </c:numRef>
          </c:val>
          <c:extLst>
            <c:ext xmlns:c16="http://schemas.microsoft.com/office/drawing/2014/chart" uri="{C3380CC4-5D6E-409C-BE32-E72D297353CC}">
              <c16:uniqueId val="{00000001-9659-4F23-BD3C-F12F1D074658}"/>
            </c:ext>
          </c:extLst>
        </c:ser>
        <c:dLbls>
          <c:dLblPos val="outEnd"/>
          <c:showLegendKey val="0"/>
          <c:showVal val="0"/>
          <c:showCatName val="0"/>
          <c:showSerName val="0"/>
          <c:showPercent val="0"/>
          <c:showBubbleSize val="0"/>
        </c:dLbls>
        <c:gapWidth val="219"/>
        <c:overlap val="-27"/>
        <c:axId val="1029316176"/>
        <c:axId val="1029312336"/>
      </c:barChart>
      <c:catAx>
        <c:axId val="10293161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12336"/>
        <c:crosses val="autoZero"/>
        <c:auto val="1"/>
        <c:lblAlgn val="ctr"/>
        <c:lblOffset val="100"/>
        <c:noMultiLvlLbl val="0"/>
      </c:catAx>
      <c:valAx>
        <c:axId val="1029312336"/>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16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1).xlsb.xlsx]Dashboard!PivotTable5</c:name>
    <c:fmtId val="1"/>
  </c:pivotSource>
  <c:chart>
    <c:autoTitleDeleted val="1"/>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accent4">
                      <a:lumMod val="20000"/>
                      <a:lumOff val="8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Dashboard!$O$3</c:f>
              <c:strCache>
                <c:ptCount val="1"/>
                <c:pt idx="0">
                  <c:v>Total</c:v>
                </c:pt>
              </c:strCache>
            </c:strRef>
          </c:tx>
          <c:spPr>
            <a:solidFill>
              <a:schemeClr val="accent1"/>
            </a:solidFill>
            <a:ln>
              <a:noFill/>
            </a:ln>
            <a:effectLst/>
            <a:sp3d/>
          </c:spPr>
          <c:cat>
            <c:multiLvlStrRef>
              <c:f>Dashboard!$N$4:$N$16</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Dashboard!$O$4:$O$16</c:f>
              <c:numCache>
                <c:formatCode>General</c:formatCode>
                <c:ptCount val="7"/>
                <c:pt idx="0">
                  <c:v>86783</c:v>
                </c:pt>
                <c:pt idx="1">
                  <c:v>220352</c:v>
                </c:pt>
                <c:pt idx="2">
                  <c:v>8097972</c:v>
                </c:pt>
                <c:pt idx="3">
                  <c:v>4565502</c:v>
                </c:pt>
                <c:pt idx="4">
                  <c:v>3493247</c:v>
                </c:pt>
                <c:pt idx="5">
                  <c:v>16124</c:v>
                </c:pt>
                <c:pt idx="6">
                  <c:v>505</c:v>
                </c:pt>
              </c:numCache>
            </c:numRef>
          </c:val>
          <c:smooth val="0"/>
          <c:extLst>
            <c:ext xmlns:c16="http://schemas.microsoft.com/office/drawing/2014/chart" uri="{C3380CC4-5D6E-409C-BE32-E72D297353CC}">
              <c16:uniqueId val="{00000000-E4FC-48FF-A433-4E42D1095325}"/>
            </c:ext>
          </c:extLst>
        </c:ser>
        <c:dLbls>
          <c:showLegendKey val="0"/>
          <c:showVal val="0"/>
          <c:showCatName val="0"/>
          <c:showSerName val="0"/>
          <c:showPercent val="0"/>
          <c:showBubbleSize val="0"/>
        </c:dLbls>
        <c:axId val="1029339216"/>
        <c:axId val="1029342576"/>
        <c:axId val="2010994831"/>
      </c:line3DChart>
      <c:catAx>
        <c:axId val="1029339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029342576"/>
        <c:crosses val="autoZero"/>
        <c:auto val="1"/>
        <c:lblAlgn val="ctr"/>
        <c:lblOffset val="100"/>
        <c:noMultiLvlLbl val="0"/>
      </c:catAx>
      <c:valAx>
        <c:axId val="102934257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029339216"/>
        <c:crosses val="autoZero"/>
        <c:crossBetween val="between"/>
      </c:valAx>
      <c:serAx>
        <c:axId val="2010994831"/>
        <c:scaling>
          <c:orientation val="minMax"/>
        </c:scaling>
        <c:delete val="0"/>
        <c:axPos val="b"/>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crossAx val="1029342576"/>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accent4">
                  <a:lumMod val="20000"/>
                  <a:lumOff val="8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4">
            <a:lumMod val="40000"/>
            <a:lumOff val="60000"/>
          </a:schemeClr>
        </a:gs>
        <a:gs pos="46000">
          <a:schemeClr val="accent4">
            <a:lumMod val="95000"/>
            <a:lumOff val="5000"/>
          </a:schemeClr>
        </a:gs>
        <a:gs pos="100000">
          <a:schemeClr val="accent4">
            <a:lumMod val="60000"/>
          </a:schemeClr>
        </a:gs>
      </a:gsLst>
      <a:path path="rect">
        <a:fillToRect l="100000" b="100000"/>
      </a:path>
      <a:tileRect t="-100000" r="-100000"/>
    </a:gradFill>
    <a:ln w="9525" cap="flat" cmpd="sng" algn="ctr">
      <a:solidFill>
        <a:schemeClr val="tx1">
          <a:lumMod val="15000"/>
          <a:lumOff val="85000"/>
        </a:schemeClr>
      </a:solidFill>
      <a:round/>
    </a:ln>
    <a:effectLst/>
  </c:spPr>
  <c:txPr>
    <a:bodyPr/>
    <a:lstStyle/>
    <a:p>
      <a:pPr>
        <a:defRPr>
          <a:solidFill>
            <a:schemeClr val="accent4">
              <a:lumMod val="20000"/>
              <a:lumOff val="80000"/>
            </a:schemeClr>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1).xlsb.xlsx]Dashboard!PivotTable6</c:name>
    <c:fmtId val="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Dashboard!$U$2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167-4B8D-9413-BAB6995FE7A8}"/>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167-4B8D-9413-BAB6995FE7A8}"/>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167-4B8D-9413-BAB6995FE7A8}"/>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167-4B8D-9413-BAB6995FE7A8}"/>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167-4B8D-9413-BAB6995FE7A8}"/>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167-4B8D-9413-BAB6995FE7A8}"/>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Dashboard!$T$3:$T$9</c:f>
              <c:strCache>
                <c:ptCount val="6"/>
                <c:pt idx="0">
                  <c:v>Africa</c:v>
                </c:pt>
                <c:pt idx="1">
                  <c:v>Asia</c:v>
                </c:pt>
                <c:pt idx="2">
                  <c:v>Australia/Oceania</c:v>
                </c:pt>
                <c:pt idx="3">
                  <c:v>Europe</c:v>
                </c:pt>
                <c:pt idx="4">
                  <c:v>North America</c:v>
                </c:pt>
                <c:pt idx="5">
                  <c:v>South America</c:v>
                </c:pt>
              </c:strCache>
            </c:strRef>
          </c:cat>
          <c:val>
            <c:numRef>
              <c:f>Dashboard!$U$3:$U$9</c:f>
              <c:numCache>
                <c:formatCode>General</c:formatCode>
                <c:ptCount val="6"/>
                <c:pt idx="0">
                  <c:v>947320</c:v>
                </c:pt>
                <c:pt idx="1">
                  <c:v>3946274</c:v>
                </c:pt>
                <c:pt idx="2">
                  <c:v>16949</c:v>
                </c:pt>
                <c:pt idx="3">
                  <c:v>2792084</c:v>
                </c:pt>
                <c:pt idx="4">
                  <c:v>4997374</c:v>
                </c:pt>
                <c:pt idx="5">
                  <c:v>3780484</c:v>
                </c:pt>
              </c:numCache>
            </c:numRef>
          </c:val>
          <c:extLst>
            <c:ext xmlns:c16="http://schemas.microsoft.com/office/drawing/2014/chart" uri="{C3380CC4-5D6E-409C-BE32-E72D297353CC}">
              <c16:uniqueId val="{00000000-27B4-4A12-AFC8-2296677B874A}"/>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4000">
          <a:srgbClr val="7030A0">
            <a:lumMod val="0"/>
            <a:lumOff val="100000"/>
          </a:srgbClr>
        </a:gs>
        <a:gs pos="46000">
          <a:schemeClr val="accent4">
            <a:lumMod val="95000"/>
            <a:lumOff val="5000"/>
          </a:schemeClr>
        </a:gs>
        <a:gs pos="100000">
          <a:schemeClr val="accent4">
            <a:lumMod val="60000"/>
          </a:schemeClr>
        </a:gs>
      </a:gsLst>
      <a:path path="rect">
        <a:fillToRect l="100000" b="100000"/>
      </a:path>
    </a:gra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1).xlsb.xlsx]Dashboard!PivotTable7</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a:gsLst>
              <a:gs pos="85000">
                <a:srgbClr val="FFFF00"/>
              </a:gs>
              <a:gs pos="46000">
                <a:schemeClr val="accent4">
                  <a:lumMod val="95000"/>
                  <a:lumOff val="5000"/>
                </a:schemeClr>
              </a:gs>
              <a:gs pos="100000">
                <a:schemeClr val="accent4">
                  <a:lumMod val="60000"/>
                </a:schemeClr>
              </a:gs>
            </a:gsLst>
            <a:path path="rect">
              <a:fillToRect l="100000" b="100000"/>
            </a:path>
          </a:gradFill>
          <a:ln>
            <a:noFill/>
          </a:ln>
          <a:effectLst>
            <a:glow rad="127000">
              <a:srgbClr val="00B0F0"/>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oftEdge rad="50800"/>
          </a:effectLst>
          <a:scene3d>
            <a:camera prst="orthographicFront"/>
            <a:lightRig rig="threePt" dir="t"/>
          </a:scene3d>
          <a:sp3d prstMaterial="dkEdge"/>
        </c:spPr>
      </c:pivotFmt>
    </c:pivotFmts>
    <c:plotArea>
      <c:layout>
        <c:manualLayout>
          <c:layoutTarget val="inner"/>
          <c:xMode val="edge"/>
          <c:yMode val="edge"/>
          <c:x val="0.18525227175251849"/>
          <c:y val="3.8578597996433641E-3"/>
          <c:w val="0.84962204727420843"/>
          <c:h val="0.90687003995674853"/>
        </c:manualLayout>
      </c:layout>
      <c:barChart>
        <c:barDir val="bar"/>
        <c:grouping val="clustered"/>
        <c:varyColors val="0"/>
        <c:ser>
          <c:idx val="0"/>
          <c:order val="0"/>
          <c:tx>
            <c:strRef>
              <c:f>Dashboard!$O$18</c:f>
              <c:strCache>
                <c:ptCount val="1"/>
                <c:pt idx="0">
                  <c:v>Sum of Confirmed</c:v>
                </c:pt>
              </c:strCache>
            </c:strRef>
          </c:tx>
          <c:spPr>
            <a:solidFill>
              <a:schemeClr val="accent1"/>
            </a:solidFill>
            <a:ln>
              <a:noFill/>
            </a:ln>
            <a:effectLst/>
          </c:spPr>
          <c:invertIfNegative val="0"/>
          <c:dPt>
            <c:idx val="6"/>
            <c:invertIfNegative val="0"/>
            <c:bubble3D val="0"/>
            <c:spPr>
              <a:solidFill>
                <a:schemeClr val="accent1"/>
              </a:solidFill>
              <a:ln>
                <a:noFill/>
              </a:ln>
              <a:effectLst>
                <a:softEdge rad="50800"/>
              </a:effectLst>
              <a:scene3d>
                <a:camera prst="orthographicFront"/>
                <a:lightRig rig="threePt" dir="t"/>
              </a:scene3d>
              <a:sp3d prstMaterial="dkEdge"/>
            </c:spPr>
            <c:extLst>
              <c:ext xmlns:c16="http://schemas.microsoft.com/office/drawing/2014/chart" uri="{C3380CC4-5D6E-409C-BE32-E72D297353CC}">
                <c16:uniqueId val="{00000001-56FA-42CD-9B54-F4B8CE4510EF}"/>
              </c:ext>
            </c:extLst>
          </c:dPt>
          <c:cat>
            <c:strRef>
              <c:f>Dashboard!$N$19:$N$29</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Dashboard!$O$19:$O$29</c:f>
              <c:numCache>
                <c:formatCode>General</c:formatCode>
                <c:ptCount val="10"/>
                <c:pt idx="0">
                  <c:v>2442375</c:v>
                </c:pt>
                <c:pt idx="1">
                  <c:v>347923</c:v>
                </c:pt>
                <c:pt idx="2">
                  <c:v>1480073</c:v>
                </c:pt>
                <c:pt idx="3">
                  <c:v>293606</c:v>
                </c:pt>
                <c:pt idx="4">
                  <c:v>395489</c:v>
                </c:pt>
                <c:pt idx="5">
                  <c:v>389717</c:v>
                </c:pt>
                <c:pt idx="6">
                  <c:v>816680</c:v>
                </c:pt>
                <c:pt idx="7">
                  <c:v>452529</c:v>
                </c:pt>
                <c:pt idx="8">
                  <c:v>301708</c:v>
                </c:pt>
                <c:pt idx="9">
                  <c:v>4290259</c:v>
                </c:pt>
              </c:numCache>
            </c:numRef>
          </c:val>
          <c:extLst>
            <c:ext xmlns:c16="http://schemas.microsoft.com/office/drawing/2014/chart" uri="{C3380CC4-5D6E-409C-BE32-E72D297353CC}">
              <c16:uniqueId val="{00000000-92A0-456F-8412-497E47C86639}"/>
            </c:ext>
          </c:extLst>
        </c:ser>
        <c:ser>
          <c:idx val="1"/>
          <c:order val="1"/>
          <c:tx>
            <c:strRef>
              <c:f>Dashboard!$P$18</c:f>
              <c:strCache>
                <c:ptCount val="1"/>
                <c:pt idx="0">
                  <c:v>Sum of Recovered</c:v>
                </c:pt>
              </c:strCache>
            </c:strRef>
          </c:tx>
          <c:spPr>
            <a:gradFill>
              <a:gsLst>
                <a:gs pos="85000">
                  <a:srgbClr val="FFFF00"/>
                </a:gs>
                <a:gs pos="46000">
                  <a:schemeClr val="accent4">
                    <a:lumMod val="95000"/>
                    <a:lumOff val="5000"/>
                  </a:schemeClr>
                </a:gs>
                <a:gs pos="100000">
                  <a:schemeClr val="accent4">
                    <a:lumMod val="60000"/>
                  </a:schemeClr>
                </a:gs>
              </a:gsLst>
              <a:path path="rect">
                <a:fillToRect l="100000" b="100000"/>
              </a:path>
            </a:gradFill>
            <a:ln>
              <a:noFill/>
            </a:ln>
            <a:effectLst>
              <a:glow rad="127000">
                <a:srgbClr val="00B0F0"/>
              </a:glow>
            </a:effectLst>
          </c:spPr>
          <c:invertIfNegative val="0"/>
          <c:cat>
            <c:strRef>
              <c:f>Dashboard!$N$19:$N$29</c:f>
              <c:strCache>
                <c:ptCount val="10"/>
                <c:pt idx="0">
                  <c:v>Brazil</c:v>
                </c:pt>
                <c:pt idx="1">
                  <c:v>Chile</c:v>
                </c:pt>
                <c:pt idx="2">
                  <c:v>India</c:v>
                </c:pt>
                <c:pt idx="3">
                  <c:v>Iran</c:v>
                </c:pt>
                <c:pt idx="4">
                  <c:v>Mexico</c:v>
                </c:pt>
                <c:pt idx="5">
                  <c:v>Peru</c:v>
                </c:pt>
                <c:pt idx="6">
                  <c:v>Russia</c:v>
                </c:pt>
                <c:pt idx="7">
                  <c:v>South Africa</c:v>
                </c:pt>
                <c:pt idx="8">
                  <c:v>United Kingdom</c:v>
                </c:pt>
                <c:pt idx="9">
                  <c:v>US</c:v>
                </c:pt>
              </c:strCache>
            </c:strRef>
          </c:cat>
          <c:val>
            <c:numRef>
              <c:f>Dashboard!$P$19:$P$29</c:f>
              <c:numCache>
                <c:formatCode>General</c:formatCode>
                <c:ptCount val="10"/>
                <c:pt idx="0">
                  <c:v>1846641</c:v>
                </c:pt>
                <c:pt idx="1">
                  <c:v>319954</c:v>
                </c:pt>
                <c:pt idx="2">
                  <c:v>951166</c:v>
                </c:pt>
                <c:pt idx="3">
                  <c:v>255144</c:v>
                </c:pt>
                <c:pt idx="4">
                  <c:v>303810</c:v>
                </c:pt>
                <c:pt idx="5">
                  <c:v>272547</c:v>
                </c:pt>
                <c:pt idx="6">
                  <c:v>602249</c:v>
                </c:pt>
                <c:pt idx="7">
                  <c:v>274925</c:v>
                </c:pt>
                <c:pt idx="8">
                  <c:v>1437</c:v>
                </c:pt>
                <c:pt idx="9">
                  <c:v>1325804</c:v>
                </c:pt>
              </c:numCache>
            </c:numRef>
          </c:val>
          <c:extLst>
            <c:ext xmlns:c16="http://schemas.microsoft.com/office/drawing/2014/chart" uri="{C3380CC4-5D6E-409C-BE32-E72D297353CC}">
              <c16:uniqueId val="{00000001-92A0-456F-8412-497E47C86639}"/>
            </c:ext>
          </c:extLst>
        </c:ser>
        <c:dLbls>
          <c:showLegendKey val="0"/>
          <c:showVal val="0"/>
          <c:showCatName val="0"/>
          <c:showSerName val="0"/>
          <c:showPercent val="0"/>
          <c:showBubbleSize val="0"/>
        </c:dLbls>
        <c:gapWidth val="201"/>
        <c:axId val="1029349296"/>
        <c:axId val="1029347376"/>
      </c:barChart>
      <c:catAx>
        <c:axId val="10293492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47376"/>
        <c:crosses val="autoZero"/>
        <c:auto val="1"/>
        <c:lblAlgn val="ctr"/>
        <c:lblOffset val="100"/>
        <c:noMultiLvlLbl val="0"/>
      </c:catAx>
      <c:valAx>
        <c:axId val="1029347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293492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blipFill>
      <a:blip xmlns:r="http://schemas.openxmlformats.org/officeDocument/2006/relationships" r:embed="rId3"/>
      <a:tile tx="0" ty="0" sx="100000" sy="100000" flip="none" algn="tl"/>
    </a:blip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1).xlsb.xlsx]Dashboard!PivotTable8</c:name>
    <c:fmtId val="1"/>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92D05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Dashboard!$T$17</c:f>
              <c:strCache>
                <c:ptCount val="1"/>
                <c:pt idx="0">
                  <c:v>Sum of Confirmed</c:v>
                </c:pt>
              </c:strCache>
            </c:strRef>
          </c:tx>
          <c:spPr>
            <a:solidFill>
              <a:schemeClr val="accent1"/>
            </a:solidFill>
            <a:ln>
              <a:noFill/>
            </a:ln>
            <a:effectLst/>
          </c:spPr>
          <c:invertIfNegative val="0"/>
          <c:cat>
            <c:multiLvlStrRef>
              <c:f>Dashboard!$S$18:$S$30</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Dashboard!$T$18:$T$30</c:f>
              <c:numCache>
                <c:formatCode>General</c:formatCode>
                <c:ptCount val="7"/>
                <c:pt idx="0">
                  <c:v>86783</c:v>
                </c:pt>
                <c:pt idx="1">
                  <c:v>220352</c:v>
                </c:pt>
                <c:pt idx="2">
                  <c:v>8097972</c:v>
                </c:pt>
                <c:pt idx="3">
                  <c:v>4565502</c:v>
                </c:pt>
                <c:pt idx="4">
                  <c:v>3493247</c:v>
                </c:pt>
                <c:pt idx="5">
                  <c:v>16124</c:v>
                </c:pt>
                <c:pt idx="6">
                  <c:v>505</c:v>
                </c:pt>
              </c:numCache>
            </c:numRef>
          </c:val>
          <c:extLst>
            <c:ext xmlns:c16="http://schemas.microsoft.com/office/drawing/2014/chart" uri="{C3380CC4-5D6E-409C-BE32-E72D297353CC}">
              <c16:uniqueId val="{00000000-35C8-40BA-8146-FC345C86F72D}"/>
            </c:ext>
          </c:extLst>
        </c:ser>
        <c:dLbls>
          <c:showLegendKey val="0"/>
          <c:showVal val="0"/>
          <c:showCatName val="0"/>
          <c:showSerName val="0"/>
          <c:showPercent val="0"/>
          <c:showBubbleSize val="0"/>
        </c:dLbls>
        <c:gapWidth val="219"/>
        <c:overlap val="-27"/>
        <c:axId val="1279060496"/>
        <c:axId val="1279069136"/>
      </c:barChart>
      <c:lineChart>
        <c:grouping val="standard"/>
        <c:varyColors val="0"/>
        <c:ser>
          <c:idx val="1"/>
          <c:order val="1"/>
          <c:tx>
            <c:strRef>
              <c:f>Dashboard!$U$17</c:f>
              <c:strCache>
                <c:ptCount val="1"/>
                <c:pt idx="0">
                  <c:v>Sum of Death Rate (%)</c:v>
                </c:pt>
              </c:strCache>
            </c:strRef>
          </c:tx>
          <c:spPr>
            <a:ln w="28575" cap="rnd">
              <a:solidFill>
                <a:schemeClr val="accent2"/>
              </a:solidFill>
              <a:round/>
            </a:ln>
            <a:effectLst/>
          </c:spPr>
          <c:marker>
            <c:symbol val="none"/>
          </c:marker>
          <c:cat>
            <c:multiLvlStrRef>
              <c:f>Dashboard!$S$18:$S$30</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Dashboard!$U$18:$U$30</c:f>
              <c:numCache>
                <c:formatCode>0.000%</c:formatCode>
                <c:ptCount val="7"/>
                <c:pt idx="0">
                  <c:v>5.365106069161011E-2</c:v>
                </c:pt>
                <c:pt idx="1">
                  <c:v>0.13710790008713331</c:v>
                </c:pt>
                <c:pt idx="2">
                  <c:v>0.81223361450163878</c:v>
                </c:pt>
                <c:pt idx="3">
                  <c:v>1.4673048821979009</c:v>
                </c:pt>
                <c:pt idx="4">
                  <c:v>2.6752047934913397</c:v>
                </c:pt>
                <c:pt idx="5">
                  <c:v>0.47685807399545022</c:v>
                </c:pt>
                <c:pt idx="6">
                  <c:v>2.3762376237623763E-2</c:v>
                </c:pt>
              </c:numCache>
            </c:numRef>
          </c:val>
          <c:smooth val="0"/>
          <c:extLst>
            <c:ext xmlns:c16="http://schemas.microsoft.com/office/drawing/2014/chart" uri="{C3380CC4-5D6E-409C-BE32-E72D297353CC}">
              <c16:uniqueId val="{00000001-35C8-40BA-8146-FC345C86F72D}"/>
            </c:ext>
          </c:extLst>
        </c:ser>
        <c:dLbls>
          <c:showLegendKey val="0"/>
          <c:showVal val="0"/>
          <c:showCatName val="0"/>
          <c:showSerName val="0"/>
          <c:showPercent val="0"/>
          <c:showBubbleSize val="0"/>
        </c:dLbls>
        <c:marker val="1"/>
        <c:smooth val="0"/>
        <c:axId val="1279060016"/>
        <c:axId val="1279062896"/>
      </c:lineChart>
      <c:catAx>
        <c:axId val="12790600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279062896"/>
        <c:crosses val="autoZero"/>
        <c:auto val="1"/>
        <c:lblAlgn val="ctr"/>
        <c:lblOffset val="100"/>
        <c:noMultiLvlLbl val="0"/>
      </c:catAx>
      <c:valAx>
        <c:axId val="12790628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1279060016"/>
        <c:crosses val="autoZero"/>
        <c:crossBetween val="between"/>
      </c:valAx>
      <c:valAx>
        <c:axId val="1279069136"/>
        <c:scaling>
          <c:orientation val="minMax"/>
        </c:scaling>
        <c:delete val="0"/>
        <c:axPos val="r"/>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crossAx val="1279060496"/>
        <c:crosses val="max"/>
        <c:crossBetween val="between"/>
      </c:valAx>
      <c:catAx>
        <c:axId val="1279060496"/>
        <c:scaling>
          <c:orientation val="minMax"/>
        </c:scaling>
        <c:delete val="1"/>
        <c:axPos val="b"/>
        <c:numFmt formatCode="General" sourceLinked="1"/>
        <c:majorTickMark val="out"/>
        <c:minorTickMark val="none"/>
        <c:tickLblPos val="nextTo"/>
        <c:crossAx val="1279069136"/>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rgbClr val="92D050"/>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85000">
          <a:srgbClr val="FFFF00"/>
        </a:gs>
        <a:gs pos="46000">
          <a:schemeClr val="accent4">
            <a:lumMod val="95000"/>
            <a:lumOff val="5000"/>
          </a:schemeClr>
        </a:gs>
        <a:gs pos="100000">
          <a:schemeClr val="accent4">
            <a:lumMod val="60000"/>
          </a:schemeClr>
        </a:gs>
      </a:gsLst>
      <a:path path="rect">
        <a:fillToRect l="100000" b="100000"/>
      </a:path>
    </a:gradFill>
    <a:ln w="9525" cap="flat" cmpd="sng" algn="ctr">
      <a:solidFill>
        <a:schemeClr val="tx1">
          <a:lumMod val="15000"/>
          <a:lumOff val="85000"/>
        </a:schemeClr>
      </a:solidFill>
      <a:round/>
    </a:ln>
    <a:effectLst/>
  </c:spPr>
  <c:txPr>
    <a:bodyPr/>
    <a:lstStyle/>
    <a:p>
      <a:pPr>
        <a:defRPr>
          <a:solidFill>
            <a:srgbClr val="92D050"/>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'Cloumn Chart'!$B$1</c:f>
              <c:strCache>
                <c:ptCount val="1"/>
                <c:pt idx="0">
                  <c:v>Confirmed</c:v>
                </c:pt>
              </c:strCache>
            </c:strRef>
          </c:tx>
          <c:spPr>
            <a:solidFill>
              <a:schemeClr val="accent1"/>
            </a:solidFill>
            <a:ln>
              <a:noFill/>
            </a:ln>
            <a:effectLst/>
          </c:spPr>
          <c:invertIfNegative val="0"/>
          <c:cat>
            <c:strRef>
              <c:f>'Cloumn Chart'!$A$2:$A$188</c:f>
              <c:strCache>
                <c:ptCount val="10"/>
                <c:pt idx="0">
                  <c:v>Brazil</c:v>
                </c:pt>
                <c:pt idx="1">
                  <c:v>Chile</c:v>
                </c:pt>
                <c:pt idx="2">
                  <c:v>India</c:v>
                </c:pt>
                <c:pt idx="3">
                  <c:v>Iran</c:v>
                </c:pt>
                <c:pt idx="4">
                  <c:v>Mexico</c:v>
                </c:pt>
                <c:pt idx="5">
                  <c:v>Peru</c:v>
                </c:pt>
                <c:pt idx="6">
                  <c:v>Russia</c:v>
                </c:pt>
                <c:pt idx="7">
                  <c:v>South Africa</c:v>
                </c:pt>
                <c:pt idx="8">
                  <c:v>US</c:v>
                </c:pt>
                <c:pt idx="9">
                  <c:v>United Kingdom</c:v>
                </c:pt>
              </c:strCache>
            </c:strRef>
          </c:cat>
          <c:val>
            <c:numRef>
              <c:f>'Cloumn Chart'!$B$2:$B$188</c:f>
              <c:numCache>
                <c:formatCode>General</c:formatCode>
                <c:ptCount val="10"/>
                <c:pt idx="0">
                  <c:v>2442375</c:v>
                </c:pt>
                <c:pt idx="1">
                  <c:v>347923</c:v>
                </c:pt>
                <c:pt idx="2">
                  <c:v>1480073</c:v>
                </c:pt>
                <c:pt idx="3">
                  <c:v>293606</c:v>
                </c:pt>
                <c:pt idx="4">
                  <c:v>395489</c:v>
                </c:pt>
                <c:pt idx="5">
                  <c:v>389717</c:v>
                </c:pt>
                <c:pt idx="6">
                  <c:v>816680</c:v>
                </c:pt>
                <c:pt idx="7">
                  <c:v>452529</c:v>
                </c:pt>
                <c:pt idx="8">
                  <c:v>4290259</c:v>
                </c:pt>
                <c:pt idx="9">
                  <c:v>301708</c:v>
                </c:pt>
              </c:numCache>
            </c:numRef>
          </c:val>
          <c:extLst>
            <c:ext xmlns:c16="http://schemas.microsoft.com/office/drawing/2014/chart" uri="{C3380CC4-5D6E-409C-BE32-E72D297353CC}">
              <c16:uniqueId val="{00000000-8B93-4AA6-AA21-A319A1328905}"/>
            </c:ext>
          </c:extLst>
        </c:ser>
        <c:ser>
          <c:idx val="1"/>
          <c:order val="1"/>
          <c:tx>
            <c:strRef>
              <c:f>'Cloumn Chart'!$D$1</c:f>
              <c:strCache>
                <c:ptCount val="1"/>
                <c:pt idx="0">
                  <c:v>Recovered</c:v>
                </c:pt>
              </c:strCache>
            </c:strRef>
          </c:tx>
          <c:spPr>
            <a:solidFill>
              <a:schemeClr val="accent2"/>
            </a:solidFill>
            <a:ln>
              <a:noFill/>
            </a:ln>
            <a:effectLst/>
          </c:spPr>
          <c:invertIfNegative val="0"/>
          <c:cat>
            <c:strRef>
              <c:f>'Cloumn Chart'!$A$2:$A$188</c:f>
              <c:strCache>
                <c:ptCount val="10"/>
                <c:pt idx="0">
                  <c:v>Brazil</c:v>
                </c:pt>
                <c:pt idx="1">
                  <c:v>Chile</c:v>
                </c:pt>
                <c:pt idx="2">
                  <c:v>India</c:v>
                </c:pt>
                <c:pt idx="3">
                  <c:v>Iran</c:v>
                </c:pt>
                <c:pt idx="4">
                  <c:v>Mexico</c:v>
                </c:pt>
                <c:pt idx="5">
                  <c:v>Peru</c:v>
                </c:pt>
                <c:pt idx="6">
                  <c:v>Russia</c:v>
                </c:pt>
                <c:pt idx="7">
                  <c:v>South Africa</c:v>
                </c:pt>
                <c:pt idx="8">
                  <c:v>US</c:v>
                </c:pt>
                <c:pt idx="9">
                  <c:v>United Kingdom</c:v>
                </c:pt>
              </c:strCache>
            </c:strRef>
          </c:cat>
          <c:val>
            <c:numRef>
              <c:f>'Cloumn Chart'!$D$2:$D$188</c:f>
              <c:numCache>
                <c:formatCode>General</c:formatCode>
                <c:ptCount val="10"/>
                <c:pt idx="0">
                  <c:v>1846641</c:v>
                </c:pt>
                <c:pt idx="1">
                  <c:v>319954</c:v>
                </c:pt>
                <c:pt idx="2">
                  <c:v>951166</c:v>
                </c:pt>
                <c:pt idx="3">
                  <c:v>255144</c:v>
                </c:pt>
                <c:pt idx="4">
                  <c:v>303810</c:v>
                </c:pt>
                <c:pt idx="5">
                  <c:v>272547</c:v>
                </c:pt>
                <c:pt idx="6">
                  <c:v>602249</c:v>
                </c:pt>
                <c:pt idx="7">
                  <c:v>274925</c:v>
                </c:pt>
                <c:pt idx="8">
                  <c:v>1325804</c:v>
                </c:pt>
                <c:pt idx="9">
                  <c:v>1437</c:v>
                </c:pt>
              </c:numCache>
            </c:numRef>
          </c:val>
          <c:extLst>
            <c:ext xmlns:c16="http://schemas.microsoft.com/office/drawing/2014/chart" uri="{C3380CC4-5D6E-409C-BE32-E72D297353CC}">
              <c16:uniqueId val="{00000001-8B93-4AA6-AA21-A319A1328905}"/>
            </c:ext>
          </c:extLst>
        </c:ser>
        <c:dLbls>
          <c:showLegendKey val="0"/>
          <c:showVal val="0"/>
          <c:showCatName val="0"/>
          <c:showSerName val="0"/>
          <c:showPercent val="0"/>
          <c:showBubbleSize val="0"/>
        </c:dLbls>
        <c:gapWidth val="219"/>
        <c:overlap val="-27"/>
        <c:axId val="1952963616"/>
        <c:axId val="1952964096"/>
      </c:barChart>
      <c:catAx>
        <c:axId val="19529636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964096"/>
        <c:crosses val="autoZero"/>
        <c:auto val="1"/>
        <c:lblAlgn val="ctr"/>
        <c:lblOffset val="100"/>
        <c:noMultiLvlLbl val="0"/>
      </c:catAx>
      <c:valAx>
        <c:axId val="19529640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29636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1).xlsb.xlsx]Line Chart!PivotTable2</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'Line Chart'!$B$3</c:f>
              <c:strCache>
                <c:ptCount val="1"/>
                <c:pt idx="0">
                  <c:v>Total</c:v>
                </c:pt>
              </c:strCache>
            </c:strRef>
          </c:tx>
          <c:spPr>
            <a:ln w="28575" cap="rnd">
              <a:solidFill>
                <a:schemeClr val="accent1"/>
              </a:solidFill>
              <a:round/>
            </a:ln>
            <a:effectLst/>
          </c:spPr>
          <c:marker>
            <c:symbol val="none"/>
          </c:marker>
          <c:cat>
            <c:multiLvlStrRef>
              <c:f>'Line Chart'!$A$4:$A$16</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'Line Chart'!$B$4:$B$16</c:f>
              <c:numCache>
                <c:formatCode>General</c:formatCode>
                <c:ptCount val="7"/>
                <c:pt idx="0">
                  <c:v>86783</c:v>
                </c:pt>
                <c:pt idx="1">
                  <c:v>220352</c:v>
                </c:pt>
                <c:pt idx="2">
                  <c:v>8097972</c:v>
                </c:pt>
                <c:pt idx="3">
                  <c:v>4565502</c:v>
                </c:pt>
                <c:pt idx="4">
                  <c:v>3493247</c:v>
                </c:pt>
                <c:pt idx="5">
                  <c:v>16124</c:v>
                </c:pt>
                <c:pt idx="6">
                  <c:v>505</c:v>
                </c:pt>
              </c:numCache>
            </c:numRef>
          </c:val>
          <c:smooth val="0"/>
          <c:extLst>
            <c:ext xmlns:c16="http://schemas.microsoft.com/office/drawing/2014/chart" uri="{C3380CC4-5D6E-409C-BE32-E72D297353CC}">
              <c16:uniqueId val="{00000000-8470-4788-A072-BC08A5AC5576}"/>
            </c:ext>
          </c:extLst>
        </c:ser>
        <c:dLbls>
          <c:showLegendKey val="0"/>
          <c:showVal val="0"/>
          <c:showCatName val="0"/>
          <c:showSerName val="0"/>
          <c:showPercent val="0"/>
          <c:showBubbleSize val="0"/>
        </c:dLbls>
        <c:smooth val="0"/>
        <c:axId val="925725583"/>
        <c:axId val="925707823"/>
      </c:lineChart>
      <c:catAx>
        <c:axId val="925725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07823"/>
        <c:crosses val="autoZero"/>
        <c:auto val="1"/>
        <c:lblAlgn val="ctr"/>
        <c:lblOffset val="100"/>
        <c:noMultiLvlLbl val="0"/>
      </c:catAx>
      <c:valAx>
        <c:axId val="925707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5725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1).xlsb.xlsx]Pie Chart!PivotTable1</c:name>
    <c:fmtId val="3"/>
  </c:pivotSource>
  <c:chart>
    <c:title>
      <c:layout>
        <c:manualLayout>
          <c:xMode val="edge"/>
          <c:yMode val="edge"/>
          <c:x val="0.40204855643044618"/>
          <c:y val="8.231262758821814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'Pie Chart'!$B$3</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C6-40F7-AE9D-CC5A011C9770}"/>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4C6-40F7-AE9D-CC5A011C9770}"/>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C4C6-40F7-AE9D-CC5A011C9770}"/>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C4C6-40F7-AE9D-CC5A011C9770}"/>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C4C6-40F7-AE9D-CC5A011C9770}"/>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C4C6-40F7-AE9D-CC5A011C9770}"/>
              </c:ext>
            </c:extLst>
          </c:dPt>
          <c:cat>
            <c:strRef>
              <c:f>'Pie Chart'!$A$4:$A$10</c:f>
              <c:strCache>
                <c:ptCount val="6"/>
                <c:pt idx="0">
                  <c:v>Africa</c:v>
                </c:pt>
                <c:pt idx="1">
                  <c:v>Asia</c:v>
                </c:pt>
                <c:pt idx="2">
                  <c:v>Australia/Oceania</c:v>
                </c:pt>
                <c:pt idx="3">
                  <c:v>Europe</c:v>
                </c:pt>
                <c:pt idx="4">
                  <c:v>North America</c:v>
                </c:pt>
                <c:pt idx="5">
                  <c:v>South America</c:v>
                </c:pt>
              </c:strCache>
            </c:strRef>
          </c:cat>
          <c:val>
            <c:numRef>
              <c:f>'Pie Chart'!$B$4:$B$10</c:f>
              <c:numCache>
                <c:formatCode>General</c:formatCode>
                <c:ptCount val="6"/>
                <c:pt idx="0">
                  <c:v>947320</c:v>
                </c:pt>
                <c:pt idx="1">
                  <c:v>3946274</c:v>
                </c:pt>
                <c:pt idx="2">
                  <c:v>16949</c:v>
                </c:pt>
                <c:pt idx="3">
                  <c:v>2792084</c:v>
                </c:pt>
                <c:pt idx="4">
                  <c:v>4997374</c:v>
                </c:pt>
                <c:pt idx="5">
                  <c:v>3780484</c:v>
                </c:pt>
              </c:numCache>
            </c:numRef>
          </c:val>
          <c:extLst>
            <c:ext xmlns:c16="http://schemas.microsoft.com/office/drawing/2014/chart" uri="{C3380CC4-5D6E-409C-BE32-E72D297353CC}">
              <c16:uniqueId val="{00000000-055C-4978-9D9B-5B19A56CDBC6}"/>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 DATASET - WEEK 01 (version 1).xlsb.xlsx]Combo Chart!PivotTable33</c:name>
    <c:fmtId val="0"/>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'Combo Chart'!$B$1</c:f>
              <c:strCache>
                <c:ptCount val="1"/>
                <c:pt idx="0">
                  <c:v>Sum of Confirmed</c:v>
                </c:pt>
              </c:strCache>
            </c:strRef>
          </c:tx>
          <c:spPr>
            <a:solidFill>
              <a:schemeClr val="accent1"/>
            </a:solidFill>
            <a:ln>
              <a:noFill/>
            </a:ln>
            <a:effectLst/>
          </c:spPr>
          <c:invertIfNegative val="0"/>
          <c:cat>
            <c:multiLvlStrRef>
              <c:f>'Combo Chart'!$A$2:$A$14</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'Combo Chart'!$B$2:$B$14</c:f>
              <c:numCache>
                <c:formatCode>General</c:formatCode>
                <c:ptCount val="7"/>
                <c:pt idx="0">
                  <c:v>86783</c:v>
                </c:pt>
                <c:pt idx="1">
                  <c:v>220352</c:v>
                </c:pt>
                <c:pt idx="2">
                  <c:v>8097972</c:v>
                </c:pt>
                <c:pt idx="3">
                  <c:v>4565502</c:v>
                </c:pt>
                <c:pt idx="4">
                  <c:v>3493247</c:v>
                </c:pt>
                <c:pt idx="5">
                  <c:v>16124</c:v>
                </c:pt>
                <c:pt idx="6">
                  <c:v>505</c:v>
                </c:pt>
              </c:numCache>
            </c:numRef>
          </c:val>
          <c:extLst>
            <c:ext xmlns:c16="http://schemas.microsoft.com/office/drawing/2014/chart" uri="{C3380CC4-5D6E-409C-BE32-E72D297353CC}">
              <c16:uniqueId val="{00000000-CDFE-49BF-971C-347F465A8F64}"/>
            </c:ext>
          </c:extLst>
        </c:ser>
        <c:dLbls>
          <c:showLegendKey val="0"/>
          <c:showVal val="0"/>
          <c:showCatName val="0"/>
          <c:showSerName val="0"/>
          <c:showPercent val="0"/>
          <c:showBubbleSize val="0"/>
        </c:dLbls>
        <c:gapWidth val="219"/>
        <c:overlap val="-27"/>
        <c:axId val="1103079039"/>
        <c:axId val="1103099199"/>
      </c:barChart>
      <c:lineChart>
        <c:grouping val="standard"/>
        <c:varyColors val="0"/>
        <c:ser>
          <c:idx val="1"/>
          <c:order val="1"/>
          <c:tx>
            <c:strRef>
              <c:f>'Combo Chart'!$C$1</c:f>
              <c:strCache>
                <c:ptCount val="1"/>
                <c:pt idx="0">
                  <c:v>Sum of Death Rate (%)</c:v>
                </c:pt>
              </c:strCache>
            </c:strRef>
          </c:tx>
          <c:spPr>
            <a:ln w="28575" cap="rnd">
              <a:solidFill>
                <a:schemeClr val="accent2"/>
              </a:solidFill>
              <a:round/>
            </a:ln>
            <a:effectLst/>
          </c:spPr>
          <c:marker>
            <c:symbol val="none"/>
          </c:marker>
          <c:cat>
            <c:multiLvlStrRef>
              <c:f>'Combo Chart'!$A$2:$A$14</c:f>
              <c:multiLvlStrCache>
                <c:ptCount val="7"/>
                <c:lvl>
                  <c:pt idx="0">
                    <c:v>Nov</c:v>
                  </c:pt>
                  <c:pt idx="1">
                    <c:v>Dec</c:v>
                  </c:pt>
                  <c:pt idx="2">
                    <c:v>Jan</c:v>
                  </c:pt>
                  <c:pt idx="3">
                    <c:v>Feb</c:v>
                  </c:pt>
                  <c:pt idx="4">
                    <c:v>Mar</c:v>
                  </c:pt>
                  <c:pt idx="5">
                    <c:v>Apr</c:v>
                  </c:pt>
                  <c:pt idx="6">
                    <c:v>May</c:v>
                  </c:pt>
                </c:lvl>
                <c:lvl>
                  <c:pt idx="0">
                    <c:v>Qtr4</c:v>
                  </c:pt>
                  <c:pt idx="2">
                    <c:v>Qtr1</c:v>
                  </c:pt>
                  <c:pt idx="5">
                    <c:v>Qtr2</c:v>
                  </c:pt>
                </c:lvl>
                <c:lvl>
                  <c:pt idx="0">
                    <c:v>2019</c:v>
                  </c:pt>
                  <c:pt idx="2">
                    <c:v>2020</c:v>
                  </c:pt>
                </c:lvl>
              </c:multiLvlStrCache>
            </c:multiLvlStrRef>
          </c:cat>
          <c:val>
            <c:numRef>
              <c:f>'Combo Chart'!$C$2:$C$14</c:f>
              <c:numCache>
                <c:formatCode>0.000%</c:formatCode>
                <c:ptCount val="7"/>
                <c:pt idx="0">
                  <c:v>5.365106069161011E-2</c:v>
                </c:pt>
                <c:pt idx="1">
                  <c:v>0.13710790008713331</c:v>
                </c:pt>
                <c:pt idx="2">
                  <c:v>0.81223361450163878</c:v>
                </c:pt>
                <c:pt idx="3">
                  <c:v>1.4673048821979009</c:v>
                </c:pt>
                <c:pt idx="4">
                  <c:v>2.6752047934913397</c:v>
                </c:pt>
                <c:pt idx="5">
                  <c:v>0.47685807399545022</c:v>
                </c:pt>
                <c:pt idx="6">
                  <c:v>2.3762376237623763E-2</c:v>
                </c:pt>
              </c:numCache>
            </c:numRef>
          </c:val>
          <c:smooth val="0"/>
          <c:extLst>
            <c:ext xmlns:c16="http://schemas.microsoft.com/office/drawing/2014/chart" uri="{C3380CC4-5D6E-409C-BE32-E72D297353CC}">
              <c16:uniqueId val="{00000001-CDFE-49BF-971C-347F465A8F64}"/>
            </c:ext>
          </c:extLst>
        </c:ser>
        <c:dLbls>
          <c:showLegendKey val="0"/>
          <c:showVal val="0"/>
          <c:showCatName val="0"/>
          <c:showSerName val="0"/>
          <c:showPercent val="0"/>
          <c:showBubbleSize val="0"/>
        </c:dLbls>
        <c:marker val="1"/>
        <c:smooth val="0"/>
        <c:axId val="1103093439"/>
        <c:axId val="1103084319"/>
      </c:lineChart>
      <c:catAx>
        <c:axId val="110307903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99199"/>
        <c:crosses val="autoZero"/>
        <c:auto val="1"/>
        <c:lblAlgn val="ctr"/>
        <c:lblOffset val="100"/>
        <c:noMultiLvlLbl val="0"/>
      </c:catAx>
      <c:valAx>
        <c:axId val="11030991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79039"/>
        <c:crosses val="autoZero"/>
        <c:crossBetween val="between"/>
      </c:valAx>
      <c:valAx>
        <c:axId val="1103084319"/>
        <c:scaling>
          <c:orientation val="minMax"/>
        </c:scaling>
        <c:delete val="0"/>
        <c:axPos val="r"/>
        <c:numFmt formatCode="0.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03093439"/>
        <c:crosses val="max"/>
        <c:crossBetween val="between"/>
      </c:valAx>
      <c:catAx>
        <c:axId val="1103093439"/>
        <c:scaling>
          <c:orientation val="minMax"/>
        </c:scaling>
        <c:delete val="1"/>
        <c:axPos val="b"/>
        <c:numFmt formatCode="General" sourceLinked="1"/>
        <c:majorTickMark val="out"/>
        <c:minorTickMark val="none"/>
        <c:tickLblPos val="nextTo"/>
        <c:crossAx val="1103084319"/>
        <c:crosses val="autoZero"/>
        <c:auto val="1"/>
        <c:lblAlgn val="ctr"/>
        <c:lblOffset val="100"/>
        <c:noMultiLvlLbl val="0"/>
      </c:cat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4"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_rels/drawing6.xml.rels><?xml version="1.0" encoding="UTF-8" standalone="yes"?>
<Relationships xmlns="http://schemas.openxmlformats.org/package/2006/relationships"><Relationship Id="rId1"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16</xdr:col>
      <xdr:colOff>0</xdr:colOff>
      <xdr:row>1</xdr:row>
      <xdr:rowOff>171450</xdr:rowOff>
    </xdr:from>
    <xdr:to>
      <xdr:col>24</xdr:col>
      <xdr:colOff>152400</xdr:colOff>
      <xdr:row>14</xdr:row>
      <xdr:rowOff>0</xdr:rowOff>
    </xdr:to>
    <xdr:graphicFrame macro="">
      <xdr:nvGraphicFramePr>
        <xdr:cNvPr id="4" name="Chart 3">
          <a:extLst>
            <a:ext uri="{FF2B5EF4-FFF2-40B4-BE49-F238E27FC236}">
              <a16:creationId xmlns:a16="http://schemas.microsoft.com/office/drawing/2014/main" id="{0B338A06-2F40-0AE1-38E3-F63E2FA09D0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7938</xdr:colOff>
      <xdr:row>0</xdr:row>
      <xdr:rowOff>0</xdr:rowOff>
    </xdr:from>
    <xdr:to>
      <xdr:col>17</xdr:col>
      <xdr:colOff>341313</xdr:colOff>
      <xdr:row>14</xdr:row>
      <xdr:rowOff>74215</xdr:rowOff>
    </xdr:to>
    <xdr:graphicFrame macro="">
      <xdr:nvGraphicFramePr>
        <xdr:cNvPr id="2" name="Chart 1">
          <a:extLst>
            <a:ext uri="{FF2B5EF4-FFF2-40B4-BE49-F238E27FC236}">
              <a16:creationId xmlns:a16="http://schemas.microsoft.com/office/drawing/2014/main" id="{92D1E975-30D6-5879-B67C-3372CA0947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366317</xdr:colOff>
      <xdr:row>0</xdr:row>
      <xdr:rowOff>0</xdr:rowOff>
    </xdr:from>
    <xdr:to>
      <xdr:col>22</xdr:col>
      <xdr:colOff>336153</xdr:colOff>
      <xdr:row>14</xdr:row>
      <xdr:rowOff>76200</xdr:rowOff>
    </xdr:to>
    <xdr:graphicFrame macro="">
      <xdr:nvGraphicFramePr>
        <xdr:cNvPr id="3" name="Chart 2">
          <a:extLst>
            <a:ext uri="{FF2B5EF4-FFF2-40B4-BE49-F238E27FC236}">
              <a16:creationId xmlns:a16="http://schemas.microsoft.com/office/drawing/2014/main" id="{4397D071-B2D3-C4C6-D997-1190E9F7F4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0</xdr:colOff>
      <xdr:row>14</xdr:row>
      <xdr:rowOff>106362</xdr:rowOff>
    </xdr:from>
    <xdr:to>
      <xdr:col>17</xdr:col>
      <xdr:colOff>347265</xdr:colOff>
      <xdr:row>29</xdr:row>
      <xdr:rowOff>119063</xdr:rowOff>
    </xdr:to>
    <xdr:graphicFrame macro="">
      <xdr:nvGraphicFramePr>
        <xdr:cNvPr id="4" name="Chart 3">
          <a:extLst>
            <a:ext uri="{FF2B5EF4-FFF2-40B4-BE49-F238E27FC236}">
              <a16:creationId xmlns:a16="http://schemas.microsoft.com/office/drawing/2014/main" id="{3DF0FEE6-E5DB-AB25-0049-6BDFA1BA149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376634</xdr:colOff>
      <xdr:row>14</xdr:row>
      <xdr:rowOff>111124</xdr:rowOff>
    </xdr:from>
    <xdr:to>
      <xdr:col>22</xdr:col>
      <xdr:colOff>357187</xdr:colOff>
      <xdr:row>29</xdr:row>
      <xdr:rowOff>119063</xdr:rowOff>
    </xdr:to>
    <xdr:graphicFrame macro="">
      <xdr:nvGraphicFramePr>
        <xdr:cNvPr id="6" name="Chart 5">
          <a:extLst>
            <a:ext uri="{FF2B5EF4-FFF2-40B4-BE49-F238E27FC236}">
              <a16:creationId xmlns:a16="http://schemas.microsoft.com/office/drawing/2014/main" id="{6686E97A-238F-4EBE-75BE-8FD90F0769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22</xdr:col>
      <xdr:colOff>382045</xdr:colOff>
      <xdr:row>0</xdr:row>
      <xdr:rowOff>26664</xdr:rowOff>
    </xdr:from>
    <xdr:to>
      <xdr:col>24</xdr:col>
      <xdr:colOff>721482</xdr:colOff>
      <xdr:row>11</xdr:row>
      <xdr:rowOff>59532</xdr:rowOff>
    </xdr:to>
    <mc:AlternateContent xmlns:mc="http://schemas.openxmlformats.org/markup-compatibility/2006">
      <mc:Choice xmlns:a14="http://schemas.microsoft.com/office/drawing/2010/main" Requires="a14">
        <xdr:graphicFrame macro="">
          <xdr:nvGraphicFramePr>
            <xdr:cNvPr id="7" name="Continent">
              <a:extLst>
                <a:ext uri="{FF2B5EF4-FFF2-40B4-BE49-F238E27FC236}">
                  <a16:creationId xmlns:a16="http://schemas.microsoft.com/office/drawing/2014/main" id="{93A0DA81-8C87-065B-D685-01DE1A447246}"/>
                </a:ext>
              </a:extLst>
            </xdr:cNvPr>
            <xdr:cNvGraphicFramePr/>
          </xdr:nvGraphicFramePr>
          <xdr:xfrm>
            <a:off x="0" y="0"/>
            <a:ext cx="0" cy="0"/>
          </xdr:xfrm>
          <a:graphic>
            <a:graphicData uri="http://schemas.microsoft.com/office/drawing/2010/slicer">
              <sle:slicer xmlns:sle="http://schemas.microsoft.com/office/drawing/2010/slicer" name="Continent"/>
            </a:graphicData>
          </a:graphic>
        </xdr:graphicFrame>
      </mc:Choice>
      <mc:Fallback>
        <xdr:sp macro="" textlink="">
          <xdr:nvSpPr>
            <xdr:cNvPr id="0" name=""/>
            <xdr:cNvSpPr>
              <a:spLocks noTextEdit="1"/>
            </xdr:cNvSpPr>
          </xdr:nvSpPr>
          <xdr:spPr>
            <a:xfrm>
              <a:off x="21277514" y="26664"/>
              <a:ext cx="1847562" cy="21065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188</xdr:row>
      <xdr:rowOff>14287</xdr:rowOff>
    </xdr:from>
    <xdr:to>
      <xdr:col>6</xdr:col>
      <xdr:colOff>209550</xdr:colOff>
      <xdr:row>203</xdr:row>
      <xdr:rowOff>161925</xdr:rowOff>
    </xdr:to>
    <xdr:graphicFrame macro="">
      <xdr:nvGraphicFramePr>
        <xdr:cNvPr id="2" name="Chart 1">
          <a:extLst>
            <a:ext uri="{FF2B5EF4-FFF2-40B4-BE49-F238E27FC236}">
              <a16:creationId xmlns:a16="http://schemas.microsoft.com/office/drawing/2014/main" id="{FF51D227-5B8C-4811-A09B-BF8BF8E18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9525</xdr:colOff>
      <xdr:row>0</xdr:row>
      <xdr:rowOff>14287</xdr:rowOff>
    </xdr:from>
    <xdr:to>
      <xdr:col>9</xdr:col>
      <xdr:colOff>314325</xdr:colOff>
      <xdr:row>14</xdr:row>
      <xdr:rowOff>90487</xdr:rowOff>
    </xdr:to>
    <xdr:graphicFrame macro="">
      <xdr:nvGraphicFramePr>
        <xdr:cNvPr id="2" name="Chart 1">
          <a:extLst>
            <a:ext uri="{FF2B5EF4-FFF2-40B4-BE49-F238E27FC236}">
              <a16:creationId xmlns:a16="http://schemas.microsoft.com/office/drawing/2014/main" id="{79C0C40E-D098-8CFA-074D-ED1A4BAF621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19050</xdr:colOff>
      <xdr:row>0</xdr:row>
      <xdr:rowOff>9525</xdr:rowOff>
    </xdr:from>
    <xdr:to>
      <xdr:col>7</xdr:col>
      <xdr:colOff>266700</xdr:colOff>
      <xdr:row>12</xdr:row>
      <xdr:rowOff>0</xdr:rowOff>
    </xdr:to>
    <xdr:graphicFrame macro="">
      <xdr:nvGraphicFramePr>
        <xdr:cNvPr id="2" name="Chart 1">
          <a:extLst>
            <a:ext uri="{FF2B5EF4-FFF2-40B4-BE49-F238E27FC236}">
              <a16:creationId xmlns:a16="http://schemas.microsoft.com/office/drawing/2014/main" id="{469610EF-C62F-55B9-FBFE-46C089976F1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9525</xdr:colOff>
      <xdr:row>0</xdr:row>
      <xdr:rowOff>0</xdr:rowOff>
    </xdr:from>
    <xdr:to>
      <xdr:col>10</xdr:col>
      <xdr:colOff>314325</xdr:colOff>
      <xdr:row>14</xdr:row>
      <xdr:rowOff>61912</xdr:rowOff>
    </xdr:to>
    <xdr:graphicFrame macro="">
      <xdr:nvGraphicFramePr>
        <xdr:cNvPr id="2" name="Chart 1">
          <a:extLst>
            <a:ext uri="{FF2B5EF4-FFF2-40B4-BE49-F238E27FC236}">
              <a16:creationId xmlns:a16="http://schemas.microsoft.com/office/drawing/2014/main" id="{ACA36F73-D7E4-D24A-F570-A06FA2F966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5938.700612731482" createdVersion="8" refreshedVersion="8" minRefreshableVersion="3" recordCount="187" xr:uid="{FEB2D36A-47BE-418B-904C-04E12F4371A8}">
  <cacheSource type="worksheet">
    <worksheetSource ref="A1:L188" sheet="data"/>
  </cacheSource>
  <cacheFields count="15">
    <cacheField name="Country/Region"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Myanmar"/>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0">
      <sharedItems containsSemiMixedTypes="0" containsString="0" containsNumber="1" containsInteger="1" minValue="10" maxValue="4290259" count="184">
        <n v="36263"/>
        <n v="4880"/>
        <n v="27973"/>
        <n v="907"/>
        <n v="950"/>
        <n v="86"/>
        <n v="167416"/>
        <n v="37390"/>
        <n v="15303"/>
        <n v="20558"/>
        <n v="30446"/>
        <n v="382"/>
        <n v="39482"/>
        <n v="226225"/>
        <n v="110"/>
        <n v="67251"/>
        <n v="66428"/>
        <n v="48"/>
        <n v="1770"/>
        <n v="99"/>
        <n v="71181"/>
        <n v="10498"/>
        <n v="739"/>
        <n v="2442375"/>
        <n v="141"/>
        <n v="10621"/>
        <n v="1100"/>
        <n v="350"/>
        <n v="378"/>
        <n v="2328"/>
        <n v="226"/>
        <n v="17110"/>
        <n v="116458"/>
        <n v="4599"/>
        <n v="922"/>
        <n v="347923"/>
        <n v="86783"/>
        <n v="257101"/>
        <n v="354"/>
        <n v="3200"/>
        <n v="8844"/>
        <n v="15841"/>
        <n v="15655"/>
        <n v="4881"/>
        <n v="2532"/>
        <n v="1060"/>
        <n v="15516"/>
        <n v="13761"/>
        <n v="5059"/>
        <n v="18"/>
        <n v="64156"/>
        <n v="81161"/>
        <n v="92482"/>
        <n v="15035"/>
        <n v="3071"/>
        <n v="265"/>
        <n v="2034"/>
        <n v="2316"/>
        <n v="14547"/>
        <n v="27"/>
        <n v="7398"/>
        <n v="220352"/>
        <n v="7189"/>
        <n v="326"/>
        <n v="1137"/>
        <n v="207112"/>
        <n v="33624"/>
        <n v="4227"/>
        <n v="14"/>
        <n v="23"/>
        <n v="45309"/>
        <n v="7055"/>
        <n v="1954"/>
        <n v="389"/>
        <n v="7340"/>
        <n v="12"/>
        <n v="39741"/>
        <n v="4448"/>
        <n v="1854"/>
        <n v="1480073"/>
        <n v="100303"/>
        <n v="293606"/>
        <n v="112585"/>
        <n v="25892"/>
        <n v="63985"/>
        <n v="246286"/>
        <n v="853"/>
        <n v="31142"/>
        <n v="1176"/>
        <n v="84648"/>
        <n v="17975"/>
        <n v="7413"/>
        <n v="64379"/>
        <n v="33296"/>
        <n v="20"/>
        <n v="1219"/>
        <n v="3882"/>
        <n v="505"/>
        <n v="1167"/>
        <n v="2827"/>
        <n v="2019"/>
        <n v="6321"/>
        <n v="9690"/>
        <n v="3664"/>
        <n v="8904"/>
        <n v="3369"/>
        <n v="2513"/>
        <n v="701"/>
        <n v="6208"/>
        <n v="344"/>
        <n v="395489"/>
        <n v="23154"/>
        <n v="116"/>
        <n v="289"/>
        <n v="2893"/>
        <n v="20887"/>
        <n v="1701"/>
        <n v="1843"/>
        <n v="18752"/>
        <n v="53413"/>
        <n v="1557"/>
        <n v="3439"/>
        <n v="1132"/>
        <n v="41180"/>
        <n v="10213"/>
        <n v="9132"/>
        <n v="77058"/>
        <n v="274289"/>
        <n v="61442"/>
        <n v="62"/>
        <n v="4548"/>
        <n v="389717"/>
        <n v="82040"/>
        <n v="43402"/>
        <n v="50299"/>
        <n v="109597"/>
        <n v="45902"/>
        <n v="816680"/>
        <n v="1879"/>
        <n v="17"/>
        <n v="24"/>
        <n v="52"/>
        <n v="699"/>
        <n v="865"/>
        <n v="268934"/>
        <n v="9764"/>
        <n v="24141"/>
        <n v="114"/>
        <n v="1783"/>
        <n v="50838"/>
        <n v="2181"/>
        <n v="2087"/>
        <n v="3196"/>
        <n v="452529"/>
        <n v="14203"/>
        <n v="2305"/>
        <n v="272421"/>
        <n v="2805"/>
        <n v="11424"/>
        <n v="1483"/>
        <n v="79395"/>
        <n v="34477"/>
        <n v="674"/>
        <n v="462"/>
        <n v="7235"/>
        <n v="509"/>
        <n v="3297"/>
        <n v="874"/>
        <n v="148"/>
        <n v="1455"/>
        <n v="227019"/>
        <n v="4290259"/>
        <n v="1128"/>
        <n v="67096"/>
        <n v="59177"/>
        <n v="301708"/>
        <n v="1202"/>
        <n v="21209"/>
        <n v="15988"/>
        <n v="431"/>
        <n v="10"/>
        <n v="1691"/>
        <n v="4552"/>
        <n v="2704"/>
      </sharedItems>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acheField>
    <cacheField name="Active" numFmtId="0">
      <sharedItems containsSemiMixedTypes="0" containsString="0" containsNumber="1" containsInteger="1" minValue="0" maxValue="2816444"/>
    </cacheField>
    <cacheField name="Population" numFmtId="0">
      <sharedItems containsSemiMixedTypes="0" containsString="0" containsNumber="1" containsInteger="1" minValue="528" maxValue="1411778724"/>
    </cacheField>
    <cacheField name="Continent" numFmtId="0">
      <sharedItems count="6">
        <s v="Asia"/>
        <s v="Europe"/>
        <s v="Africa"/>
        <s v="North America"/>
        <s v="South America"/>
        <s v="Australia/Oceania"/>
      </sharedItems>
    </cacheField>
    <cacheField name="Date of First Case" numFmtId="164">
      <sharedItems containsSemiMixedTypes="0" containsNonDate="0" containsDate="1" containsString="0" minDate="2019-11-17T00:00:00" maxDate="2020-05-14T00:00:00" count="57">
        <d v="2020-02-24T00:00:00"/>
        <d v="2020-03-09T00:00:00"/>
        <d v="2020-02-25T00:00:00"/>
        <d v="2020-03-02T00:00:00"/>
        <d v="2020-03-21T00:00:00"/>
        <d v="2020-03-13T00:00:00"/>
        <d v="2020-03-03T00:00:00"/>
        <d v="2020-03-01T00:00:00"/>
        <d v="2020-01-25T00:00:00"/>
        <d v="2020-02-28T00:00:00"/>
        <d v="2020-03-15T00:00:00"/>
        <d v="2020-02-21T00:00:00"/>
        <d v="2020-03-08T00:00:00"/>
        <d v="2020-03-17T00:00:00"/>
        <d v="2020-02-04T00:00:00"/>
        <d v="2020-03-23T00:00:00"/>
        <d v="2020-03-16T00:00:00"/>
        <d v="2020-03-06T00:00:00"/>
        <d v="2020-03-10T00:00:00"/>
        <d v="2020-03-05T00:00:00"/>
        <d v="2020-03-30T00:00:00"/>
        <d v="2020-02-26T00:00:00"/>
        <d v="2020-03-31T00:00:00"/>
        <d v="2020-03-20T00:00:00"/>
        <d v="2020-01-27T00:00:00"/>
        <d v="2020-03-14T00:00:00"/>
        <d v="2020-03-19T00:00:00"/>
        <d v="2019-11-17T00:00:00"/>
        <d v="2020-04-30T00:00:00"/>
        <d v="2020-03-11T00:00:00"/>
        <d v="2020-02-27T00:00:00"/>
        <d v="2020-03-18T00:00:00"/>
        <d v="2020-03-22T00:00:00"/>
        <d v="2020-02-29T00:00:00"/>
        <d v="2020-02-14T00:00:00"/>
        <d v="2019-12-27T00:00:00"/>
        <d v="2020-03-12T00:00:00"/>
        <d v="2020-03-25T00:00:00"/>
        <d v="2020-03-04T00:00:00"/>
        <d v="2020-01-30T00:00:00"/>
        <d v="2020-02-19T00:00:00"/>
        <d v="2020-02-22T00:00:00"/>
        <d v="2020-01-31T00:00:00"/>
        <d v="2020-01-16T00:00:00"/>
        <d v="2020-03-24T00:00:00"/>
        <d v="2020-05-13T00:00:00"/>
        <d v="2020-04-01T00:00:00"/>
        <d v="2020-03-07T00:00:00"/>
        <d v="2020-01-13T00:00:00"/>
        <d v="2020-04-06T00:00:00"/>
        <d v="2020-01-23T00:00:00"/>
        <d v="2020-01-20T00:00:00"/>
        <d v="2020-04-05T00:00:00"/>
        <d v="2020-01-21T00:00:00"/>
        <d v="2020-01-29T00:00:00"/>
        <d v="2020-04-04T00:00:00"/>
        <d v="2020-04-10T00:00:00"/>
      </sharedItems>
      <fieldGroup par="14"/>
    </cacheField>
    <cacheField name="Death Rate (%)" numFmtId="165">
      <sharedItems containsSemiMixedTypes="0" containsString="0" containsNumber="1" minValue="0" maxValue="0.28562980484920164" count="170">
        <n v="3.4994346854920991E-2"/>
        <n v="2.9508196721311476E-2"/>
        <n v="4.1575805240767885E-2"/>
        <n v="5.7331863285556783E-2"/>
        <n v="4.3157894736842103E-2"/>
        <n v="3.4883720930232558E-2"/>
        <n v="1.8271849763463469E-2"/>
        <n v="1.901577962021931E-2"/>
        <n v="1.0912892896817617E-2"/>
        <n v="3.4682362097480303E-2"/>
        <n v="1.389345069959929E-2"/>
        <n v="2.8795811518324606E-2"/>
        <n v="3.5712476571602247E-3"/>
        <n v="1.3106420598961211E-2"/>
        <n v="6.363636363636363E-2"/>
        <n v="7.9998810426610764E-3"/>
        <n v="0.14785933642439936"/>
        <n v="4.1666666666666664E-2"/>
        <n v="1.977401129943503E-2"/>
        <n v="0"/>
        <n v="3.7186889759907839E-2"/>
        <n v="2.8005334349399887E-2"/>
        <n v="2.7063599458728013E-3"/>
        <n v="3.5874097957930291E-2"/>
        <n v="2.1276595744680851E-2"/>
        <n v="3.2671123246398641E-2"/>
        <n v="4.818181818181818E-2"/>
        <n v="1.7142857142857144E-2"/>
        <n v="2.6455026455026454E-3"/>
        <n v="9.4501718213058413E-3"/>
        <n v="2.2852133255406196E-2"/>
        <n v="7.6800219821738305E-2"/>
        <n v="1.2828875842574472E-2"/>
        <n v="8.1344902386117135E-2"/>
        <n v="2.6405267832250241E-2"/>
        <n v="5.365106069161011E-2"/>
        <n v="3.4138334740043796E-2"/>
        <n v="1.6875000000000001E-2"/>
        <n v="2.3518769787426504E-2"/>
        <n v="7.2596426993245377E-3"/>
        <n v="6.1322261258383902E-3"/>
        <n v="2.8477770948576113E-2"/>
        <n v="3.4360189573459717E-2"/>
        <n v="1.7924528301886792E-2"/>
        <n v="2.4039700953854087E-2"/>
        <n v="4.454618123682872E-2"/>
        <n v="1.1464716347104172E-2"/>
        <n v="1.688072822495168E-2"/>
        <n v="6.8160816155542689E-2"/>
        <n v="5.0301680326982547E-2"/>
        <n v="2.7136681077485868E-2"/>
        <n v="1.6606968414197329E-2"/>
        <n v="3.3923303834808259E-2"/>
        <n v="1.468048359240069E-2"/>
        <n v="1.5673334708187256E-2"/>
        <n v="4.4471478778048121E-2"/>
        <n v="0.13710790008713331"/>
        <n v="6.815968841285297E-3"/>
        <n v="2.4539877300613498E-2"/>
        <n v="1.4072119613016711E-2"/>
        <n v="4.4058287303487965E-2"/>
        <n v="4.9964311206281229E-3"/>
        <n v="4.7788029335225926E-2"/>
        <n v="3.8866450374097861E-2"/>
        <n v="6.3784549964564135E-3"/>
        <n v="1.3306038894575231E-2"/>
        <n v="5.1413881748071981E-2"/>
        <n v="2.1525885558583105E-2"/>
        <n v="2.9339976346845827E-2"/>
        <n v="0.13399280575539568"/>
        <n v="5.3937432578209281E-3"/>
        <n v="2.2571859631247918E-2"/>
        <n v="4.8233851430166598E-2"/>
        <n v="5.4195077757266542E-2"/>
        <n v="3.9596749122884932E-2"/>
        <n v="6.8129151861578863E-2"/>
        <n v="7.407986246776588E-3"/>
        <n v="0.14256595990027854"/>
        <n v="1.1723329425556858E-2"/>
        <n v="3.2046753580373774E-2"/>
        <n v="9.3537414965986394E-3"/>
        <n v="6.9109724978735467E-3"/>
        <n v="1.5855354659248956E-2"/>
        <n v="2.4956158100634021E-2"/>
        <n v="6.8034607558365304E-3"/>
        <n v="3.9073762614127823E-2"/>
        <n v="2.5430680885972109E-2"/>
        <n v="1.3137557959814529E-2"/>
        <n v="2.3762376237623763E-2"/>
        <n v="6.1696658097686374E-2"/>
        <n v="2.2638839759462327E-2"/>
        <n v="1.1627906976744186E-2"/>
        <n v="3.9623576027736501E-2"/>
        <n v="1.7718715393133997E-2"/>
        <n v="9.3911248710010324E-3"/>
        <n v="2.7019650655021835E-2"/>
        <n v="1.3926325247079964E-2"/>
        <n v="4.4523597506678537E-3"/>
        <n v="4.9343414245921209E-2"/>
        <n v="1.2838801711840228E-2"/>
        <n v="2.5128865979381444E-2"/>
        <n v="2.9069767441860465E-2"/>
        <n v="0.11131030193001576"/>
        <n v="3.2305433186490456E-2"/>
        <n v="3.4482758620689655E-2"/>
        <n v="1.5554787417905289E-2"/>
        <n v="1.5129027624838417E-2"/>
        <n v="6.4667842445620223E-3"/>
        <n v="4.3407487791644059E-3"/>
        <n v="2.5597269624573378E-3"/>
        <n v="0.11532772920450078"/>
        <n v="1.4129736673089274E-2"/>
        <n v="3.1404478045943589E-2"/>
        <n v="6.0954063604240286E-2"/>
        <n v="2.0883924235065566E-2"/>
        <n v="4.5628121022226575E-2"/>
        <n v="2.7923784494086726E-2"/>
        <n v="5.1000545043992833E-3"/>
        <n v="2.1298703192618004E-2"/>
        <n v="2.1516226685329255E-2"/>
        <n v="9.4547053649956022E-3"/>
        <n v="4.7259934773181564E-2"/>
        <n v="2.370794734275963E-2"/>
        <n v="3.8615731993917331E-2"/>
        <n v="3.4175629734189548E-2"/>
        <n v="1.5055156619250528E-3"/>
        <n v="4.805890810857915E-2"/>
        <n v="1.6327080374197972E-2"/>
        <n v="2.6609898882384245E-3"/>
        <n v="6.0085836909871244E-2"/>
        <n v="1.6184971098265895E-2"/>
        <n v="1.0262741044271086E-2"/>
        <n v="1.9868906185989348E-2"/>
        <n v="2.2492854479930408E-2"/>
        <n v="3.7016264722378012E-2"/>
        <n v="5.3109878437389356E-4"/>
        <n v="1.2838147638697846E-2"/>
        <n v="5.558217537134643E-2"/>
        <n v="2.9098873591989989E-2"/>
        <n v="1.5616678710093718E-2"/>
        <n v="2.1122298106033936E-2"/>
        <n v="1.9956616052060738E-2"/>
        <n v="0.10436787178668311"/>
        <n v="3.9215686274509803E-3"/>
        <n v="6.3025210084033612E-2"/>
        <n v="1.6183412002697236E-2"/>
        <n v="7.1792934063857922E-2"/>
        <n v="5.7371581054036024E-2"/>
        <n v="5.9347181008902079E-2"/>
        <n v="1.5151515151515152E-2"/>
        <n v="8.2930200414651004E-3"/>
        <n v="4.1257367387033402E-2"/>
        <n v="1.7591750075826508E-2"/>
        <n v="2.0594965675057208E-2"/>
        <n v="5.4054054054054057E-2"/>
        <n v="3.4364261168384883E-2"/>
        <n v="2.4799686369863315E-2"/>
        <n v="3.4499315775574385E-2"/>
        <n v="1.7730496453900709E-3"/>
        <n v="2.4382973649695959E-2"/>
        <n v="5.8299677239468037E-3"/>
        <n v="0.15194824134593712"/>
        <n v="2.9118136439267885E-2"/>
        <n v="5.7051251827054551E-3"/>
        <n v="9.1318488866649981E-3"/>
        <n v="7.3439412484700125E-3"/>
        <n v="0.1"/>
        <n v="0.28562980484920164"/>
        <n v="3.0755711775043937E-2"/>
        <n v="1.3313609467455622E-2"/>
      </sharedItems>
    </cacheField>
    <cacheField name="Recovery Rate (%)" numFmtId="165">
      <sharedItems containsSemiMixedTypes="0" containsString="0" containsNumber="1" minValue="0" maxValue="1"/>
    </cacheField>
    <cacheField name="Infection Rate (%)" numFmtId="165">
      <sharedItems containsSemiMixedTypes="0" containsString="0" containsNumber="1" minValue="2.7450845829187114E-6" maxValue="3.9032981278970584E-2"/>
    </cacheField>
    <cacheField name="Risk Impact" numFmtId="0">
      <sharedItems/>
    </cacheField>
    <cacheField name="Months (Date of First Case)" numFmtId="0" databaseField="0">
      <fieldGroup base="7">
        <rangePr groupBy="months" startDate="2019-11-17T00:00:00" endDate="2020-05-14T00:00:00"/>
        <groupItems count="14">
          <s v="&lt;17-11-2019"/>
          <s v="Jan"/>
          <s v="Feb"/>
          <s v="Mar"/>
          <s v="Apr"/>
          <s v="May"/>
          <s v="Jun"/>
          <s v="Jul"/>
          <s v="Aug"/>
          <s v="Sep"/>
          <s v="Oct"/>
          <s v="Nov"/>
          <s v="Dec"/>
          <s v="&gt;14-05-2020"/>
        </groupItems>
      </fieldGroup>
    </cacheField>
    <cacheField name="Quarters (Date of First Case)" numFmtId="0" databaseField="0">
      <fieldGroup base="7">
        <rangePr groupBy="quarters" startDate="2019-11-17T00:00:00" endDate="2020-05-14T00:00:00"/>
        <groupItems count="6">
          <s v="&lt;17-11-2019"/>
          <s v="Qtr1"/>
          <s v="Qtr2"/>
          <s v="Qtr3"/>
          <s v="Qtr4"/>
          <s v="&gt;14-05-2020"/>
        </groupItems>
      </fieldGroup>
    </cacheField>
    <cacheField name="Years (Date of First Case)" numFmtId="0" databaseField="0">
      <fieldGroup base="7">
        <rangePr groupBy="years" startDate="2019-11-17T00:00:00" endDate="2020-05-14T00:00:00"/>
        <groupItems count="4">
          <s v="&lt;17-11-2019"/>
          <s v="2019"/>
          <s v="2020"/>
          <s v="&gt;14-05-2020"/>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5953.66817326389" createdVersion="8" refreshedVersion="8" minRefreshableVersion="3" recordCount="187" xr:uid="{85447DCA-7CAD-41A6-9CDC-572B1509C380}">
  <cacheSource type="worksheet">
    <worksheetSource ref="A1:L188" sheet="Cloumn Chart"/>
  </cacheSource>
  <cacheFields count="12">
    <cacheField name="Country/Region" numFmtId="0">
      <sharedItems/>
    </cacheField>
    <cacheField name="Confirmed" numFmtId="0">
      <sharedItems containsSemiMixedTypes="0" containsString="0" containsNumber="1" containsInteger="1" minValue="10" maxValue="4290259" count="184">
        <n v="36263"/>
        <n v="4880"/>
        <n v="27973"/>
        <n v="907"/>
        <n v="950"/>
        <n v="86"/>
        <n v="167416"/>
        <n v="37390"/>
        <n v="15303"/>
        <n v="20558"/>
        <n v="30446"/>
        <n v="382"/>
        <n v="39482"/>
        <n v="226225"/>
        <n v="110"/>
        <n v="67251"/>
        <n v="66428"/>
        <n v="48"/>
        <n v="1770"/>
        <n v="99"/>
        <n v="71181"/>
        <n v="10498"/>
        <n v="739"/>
        <n v="2442375"/>
        <n v="141"/>
        <n v="10621"/>
        <n v="1100"/>
        <n v="350"/>
        <n v="378"/>
        <n v="2328"/>
        <n v="226"/>
        <n v="17110"/>
        <n v="116458"/>
        <n v="4599"/>
        <n v="922"/>
        <n v="347923"/>
        <n v="86783"/>
        <n v="257101"/>
        <n v="354"/>
        <n v="3200"/>
        <n v="8844"/>
        <n v="15841"/>
        <n v="15655"/>
        <n v="4881"/>
        <n v="2532"/>
        <n v="1060"/>
        <n v="15516"/>
        <n v="13761"/>
        <n v="5059"/>
        <n v="18"/>
        <n v="64156"/>
        <n v="81161"/>
        <n v="92482"/>
        <n v="15035"/>
        <n v="3071"/>
        <n v="265"/>
        <n v="2034"/>
        <n v="2316"/>
        <n v="14547"/>
        <n v="27"/>
        <n v="7398"/>
        <n v="220352"/>
        <n v="7189"/>
        <n v="326"/>
        <n v="1137"/>
        <n v="207112"/>
        <n v="33624"/>
        <n v="4227"/>
        <n v="14"/>
        <n v="23"/>
        <n v="45309"/>
        <n v="7055"/>
        <n v="1954"/>
        <n v="389"/>
        <n v="7340"/>
        <n v="12"/>
        <n v="39741"/>
        <n v="4448"/>
        <n v="1854"/>
        <n v="1480073"/>
        <n v="100303"/>
        <n v="293606"/>
        <n v="112585"/>
        <n v="25892"/>
        <n v="63985"/>
        <n v="246286"/>
        <n v="853"/>
        <n v="31142"/>
        <n v="1176"/>
        <n v="84648"/>
        <n v="17975"/>
        <n v="7413"/>
        <n v="64379"/>
        <n v="33296"/>
        <n v="20"/>
        <n v="1219"/>
        <n v="3882"/>
        <n v="505"/>
        <n v="1167"/>
        <n v="2827"/>
        <n v="2019"/>
        <n v="6321"/>
        <n v="9690"/>
        <n v="3664"/>
        <n v="8904"/>
        <n v="3369"/>
        <n v="2513"/>
        <n v="701"/>
        <n v="6208"/>
        <n v="344"/>
        <n v="395489"/>
        <n v="23154"/>
        <n v="116"/>
        <n v="289"/>
        <n v="2893"/>
        <n v="20887"/>
        <n v="1701"/>
        <n v="1843"/>
        <n v="18752"/>
        <n v="53413"/>
        <n v="1557"/>
        <n v="3439"/>
        <n v="1132"/>
        <n v="41180"/>
        <n v="10213"/>
        <n v="9132"/>
        <n v="77058"/>
        <n v="274289"/>
        <n v="61442"/>
        <n v="62"/>
        <n v="4548"/>
        <n v="389717"/>
        <n v="82040"/>
        <n v="43402"/>
        <n v="50299"/>
        <n v="109597"/>
        <n v="45902"/>
        <n v="816680"/>
        <n v="1879"/>
        <n v="17"/>
        <n v="24"/>
        <n v="52"/>
        <n v="699"/>
        <n v="865"/>
        <n v="268934"/>
        <n v="9764"/>
        <n v="24141"/>
        <n v="114"/>
        <n v="1783"/>
        <n v="50838"/>
        <n v="2181"/>
        <n v="2087"/>
        <n v="3196"/>
        <n v="452529"/>
        <n v="14203"/>
        <n v="2305"/>
        <n v="272421"/>
        <n v="2805"/>
        <n v="11424"/>
        <n v="1483"/>
        <n v="79395"/>
        <n v="34477"/>
        <n v="674"/>
        <n v="462"/>
        <n v="7235"/>
        <n v="509"/>
        <n v="3297"/>
        <n v="874"/>
        <n v="148"/>
        <n v="1455"/>
        <n v="227019"/>
        <n v="4290259"/>
        <n v="1128"/>
        <n v="67096"/>
        <n v="59177"/>
        <n v="301708"/>
        <n v="1202"/>
        <n v="21209"/>
        <n v="15988"/>
        <n v="431"/>
        <n v="10"/>
        <n v="1691"/>
        <n v="4552"/>
        <n v="2704"/>
      </sharedItems>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ount="178">
        <n v="25198"/>
        <n v="2745"/>
        <n v="18837"/>
        <n v="803"/>
        <n v="242"/>
        <n v="65"/>
        <n v="72575"/>
        <n v="26665"/>
        <n v="9311"/>
        <n v="18246"/>
        <n v="23242"/>
        <n v="91"/>
        <n v="36110"/>
        <n v="125683"/>
        <n v="94"/>
        <n v="60492"/>
        <n v="17452"/>
        <n v="26"/>
        <n v="1036"/>
        <n v="86"/>
        <n v="21478"/>
        <n v="4930"/>
        <n v="63"/>
        <n v="1846641"/>
        <n v="138"/>
        <n v="5585"/>
        <n v="926"/>
        <n v="292"/>
        <n v="301"/>
        <n v="1550"/>
        <n v="147"/>
        <n v="14539"/>
        <n v="0"/>
        <n v="1546"/>
        <n v="810"/>
        <n v="319954"/>
        <n v="78869"/>
        <n v="131161"/>
        <n v="328"/>
        <n v="829"/>
        <n v="5700"/>
        <n v="3824"/>
        <n v="10361"/>
        <n v="3936"/>
        <n v="2351"/>
        <n v="852"/>
        <n v="11428"/>
        <n v="12605"/>
        <n v="4977"/>
        <n v="18"/>
        <n v="30204"/>
        <n v="34896"/>
        <n v="34838"/>
        <n v="7778"/>
        <n v="842"/>
        <n v="191"/>
        <n v="1923"/>
        <n v="1025"/>
        <n v="6386"/>
        <n v="6920"/>
        <n v="81212"/>
        <n v="4682"/>
        <n v="66"/>
        <n v="922"/>
        <n v="190314"/>
        <n v="29801"/>
        <n v="1374"/>
        <n v="13"/>
        <n v="23"/>
        <n v="32455"/>
        <n v="6257"/>
        <n v="181"/>
        <n v="4365"/>
        <n v="12"/>
        <n v="5039"/>
        <n v="3329"/>
        <n v="1823"/>
        <n v="951166"/>
        <n v="58173"/>
        <n v="255144"/>
        <n v="77144"/>
        <n v="23364"/>
        <n v="27133"/>
        <n v="198593"/>
        <n v="714"/>
        <n v="21970"/>
        <n v="1041"/>
        <n v="54404"/>
        <n v="7833"/>
        <n v="4027"/>
        <n v="55057"/>
        <n v="21205"/>
        <n v="19"/>
        <n v="1045"/>
        <n v="1709"/>
        <n v="128"/>
        <n v="646"/>
        <n v="577"/>
        <n v="81"/>
        <n v="1620"/>
        <n v="4825"/>
        <n v="6260"/>
        <n v="1645"/>
        <n v="8601"/>
        <n v="2547"/>
        <n v="1913"/>
        <n v="665"/>
        <n v="4653"/>
        <n v="332"/>
        <n v="303810"/>
        <n v="16154"/>
        <n v="104"/>
        <n v="222"/>
        <n v="809"/>
        <n v="16553"/>
        <n v="101"/>
        <n v="13754"/>
        <n v="189"/>
        <n v="1514"/>
        <n v="2492"/>
        <n v="1027"/>
        <n v="18203"/>
        <n v="5564"/>
        <n v="8752"/>
        <n v="57028"/>
        <n v="241026"/>
        <n v="35086"/>
        <n v="11"/>
        <n v="2905"/>
        <n v="272547"/>
        <n v="26446"/>
        <n v="32856"/>
        <n v="35375"/>
        <n v="106328"/>
        <n v="25794"/>
        <n v="602249"/>
        <n v="975"/>
        <n v="15"/>
        <n v="22"/>
        <n v="39"/>
        <n v="657"/>
        <n v="734"/>
        <n v="222936"/>
        <n v="6477"/>
        <n v="1317"/>
        <n v="45692"/>
        <n v="1616"/>
        <n v="1733"/>
        <n v="1543"/>
        <n v="274925"/>
        <n v="13007"/>
        <n v="1175"/>
        <n v="150376"/>
        <n v="2121"/>
        <n v="5939"/>
        <n v="925"/>
        <n v="30900"/>
        <n v="440"/>
        <n v="6028"/>
        <n v="183"/>
        <n v="3111"/>
        <n v="607"/>
        <n v="1157"/>
        <n v="210469"/>
        <n v="1325804"/>
        <n v="986"/>
        <n v="37202"/>
        <n v="52510"/>
        <n v="1437"/>
        <n v="951"/>
        <n v="11674"/>
        <n v="9959"/>
        <n v="365"/>
        <n v="3752"/>
        <n v="8"/>
        <n v="833"/>
        <n v="2815"/>
        <n v="542"/>
      </sharedItems>
    </cacheField>
    <cacheField name="Active" numFmtId="0">
      <sharedItems containsSemiMixedTypes="0" containsString="0" containsNumber="1" containsInteger="1" minValue="0" maxValue="2816444"/>
    </cacheField>
    <cacheField name="Population" numFmtId="0">
      <sharedItems containsSemiMixedTypes="0" containsString="0" containsNumber="1" containsInteger="1" minValue="528" maxValue="1411778724"/>
    </cacheField>
    <cacheField name="Continent" numFmtId="0">
      <sharedItems/>
    </cacheField>
    <cacheField name="Date of First Case" numFmtId="164">
      <sharedItems containsSemiMixedTypes="0" containsNonDate="0" containsDate="1" containsString="0" minDate="2019-11-17T00:00:00" maxDate="2020-05-14T00:00:00"/>
    </cacheField>
    <cacheField name="Death Rate (%)" numFmtId="165">
      <sharedItems containsSemiMixedTypes="0" containsString="0" containsNumber="1" minValue="0" maxValue="0.28562980484920164"/>
    </cacheField>
    <cacheField name="Recovery Rate (%)" numFmtId="165">
      <sharedItems containsSemiMixedTypes="0" containsString="0" containsNumber="1" minValue="0" maxValue="1"/>
    </cacheField>
    <cacheField name="Infection Rate (%)" numFmtId="165">
      <sharedItems containsSemiMixedTypes="0" containsString="0" containsNumber="1" minValue="2.7450845829187114E-6" maxValue="3.9032981278970584E-2"/>
    </cacheField>
    <cacheField name="Risk Impact" numFmtId="0">
      <sharedItems/>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5953.670366550927" createdVersion="8" refreshedVersion="8" minRefreshableVersion="3" recordCount="187" xr:uid="{5BDA9BEE-22EC-4A43-A4DA-5616A3637D32}">
  <cacheSource type="worksheet">
    <worksheetSource ref="A1:L188" sheet="Sheet1"/>
  </cacheSource>
  <cacheFields count="12">
    <cacheField name="Country/Region"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Myanmar"/>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0">
      <sharedItems containsSemiMixedTypes="0" containsString="0" containsNumber="1" containsInteger="1" minValue="10" maxValue="4290259"/>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acheField>
    <cacheField name="Active" numFmtId="0">
      <sharedItems containsSemiMixedTypes="0" containsString="0" containsNumber="1" containsInteger="1" minValue="0" maxValue="2816444"/>
    </cacheField>
    <cacheField name="Population" numFmtId="0">
      <sharedItems containsSemiMixedTypes="0" containsString="0" containsNumber="1" containsInteger="1" minValue="528" maxValue="1411778724"/>
    </cacheField>
    <cacheField name="Continent" numFmtId="0">
      <sharedItems/>
    </cacheField>
    <cacheField name="Date of First Case" numFmtId="164">
      <sharedItems containsSemiMixedTypes="0" containsNonDate="0" containsDate="1" containsString="0" minDate="2019-11-17T00:00:00" maxDate="2020-05-14T00:00:00"/>
    </cacheField>
    <cacheField name="Death Rate (%)" numFmtId="165">
      <sharedItems containsSemiMixedTypes="0" containsString="0" containsNumber="1" minValue="0" maxValue="0.28562980484920164"/>
    </cacheField>
    <cacheField name="Recovery Rate (%)" numFmtId="165">
      <sharedItems containsSemiMixedTypes="0" containsString="0" containsNumber="1" minValue="0" maxValue="1"/>
    </cacheField>
    <cacheField name="Infection Rate (%)" numFmtId="165">
      <sharedItems containsSemiMixedTypes="0" containsString="0" containsNumber="1" minValue="2.7450845829187114E-6" maxValue="3.9032981278970584E-2"/>
    </cacheField>
    <cacheField name="Risk Impact" numFmtId="0">
      <sharedItems/>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 refreshedDate="45953.672994560184" createdVersion="8" refreshedVersion="8" minRefreshableVersion="3" recordCount="187" xr:uid="{991E0CD2-E1A8-4715-8171-677F2364148A}">
  <cacheSource type="worksheet">
    <worksheetSource ref="A1:L188" sheet="Dashboard"/>
  </cacheSource>
  <cacheFields count="15">
    <cacheField name="Country/Region" numFmtId="0">
      <sharedItems count="187">
        <s v="Afghanistan"/>
        <s v="Albania"/>
        <s v="Algeria"/>
        <s v="Andorra"/>
        <s v="Angola"/>
        <s v="Antigua and Barbuda"/>
        <s v="Argentina"/>
        <s v="Armenia"/>
        <s v="Australia"/>
        <s v="Austria"/>
        <s v="Azerbaijan"/>
        <s v="Bahamas"/>
        <s v="Bahrain"/>
        <s v="Bangladesh"/>
        <s v="Barbados"/>
        <s v="Belarus"/>
        <s v="Belgium"/>
        <s v="Belize"/>
        <s v="Benin"/>
        <s v="Bhutan"/>
        <s v="Bolivia"/>
        <s v="Bosnia and Herzegovina"/>
        <s v="Botswana"/>
        <s v="Brazil"/>
        <s v="Brunei"/>
        <s v="Bulgaria"/>
        <s v="Burkina Faso"/>
        <s v="Myanmar"/>
        <s v="Burundi"/>
        <s v="Cabo Verde"/>
        <s v="Cambodia"/>
        <s v="Cameroon"/>
        <s v="Canada"/>
        <s v="Central African Republic"/>
        <s v="Chad"/>
        <s v="Chile"/>
        <s v="China"/>
        <s v="Colombia"/>
        <s v="Comoros"/>
        <s v="Congo (Brazzaville)"/>
        <s v="Congo (Kinshasa)"/>
        <s v="Costa Rica"/>
        <s v="Cote d'Ivoire"/>
        <s v="Croatia"/>
        <s v="Cuba"/>
        <s v="Cyprus"/>
        <s v="Czechia"/>
        <s v="Denmark"/>
        <s v="Djibouti"/>
        <s v="Dominica"/>
        <s v="Dominican Republic"/>
        <s v="Ecuador"/>
        <s v="Egypt"/>
        <s v="El Salvador"/>
        <s v="Equatorial Guinea"/>
        <s v="Eritrea"/>
        <s v="Estonia"/>
        <s v="Eswatini"/>
        <s v="Ethiopia"/>
        <s v="Fiji"/>
        <s v="Finland"/>
        <s v="France"/>
        <s v="Gabon"/>
        <s v="Gambia"/>
        <s v="Georgia"/>
        <s v="Germany"/>
        <s v="Ghana"/>
        <s v="Greece"/>
        <s v="Greenland"/>
        <s v="Grenada"/>
        <s v="Guatemala"/>
        <s v="Guinea"/>
        <s v="Guinea-Bissau"/>
        <s v="Guyana"/>
        <s v="Haiti"/>
        <s v="Holy See"/>
        <s v="Honduras"/>
        <s v="Hungary"/>
        <s v="Iceland"/>
        <s v="India"/>
        <s v="Indonesia"/>
        <s v="Iran"/>
        <s v="Iraq"/>
        <s v="Ireland"/>
        <s v="Israel"/>
        <s v="Italy"/>
        <s v="Jamaica"/>
        <s v="Japan"/>
        <s v="Jordan"/>
        <s v="Kazakhstan"/>
        <s v="Kenya"/>
        <s v="Kosovo"/>
        <s v="Kuwait"/>
        <s v="Kyrgyzstan"/>
        <s v="Laos"/>
        <s v="Latvia"/>
        <s v="Lebanon"/>
        <s v="Lesotho"/>
        <s v="Liberia"/>
        <s v="Libya"/>
        <s v="Liechtenstein"/>
        <s v="Lithuania"/>
        <s v="Luxembourg"/>
        <s v="Madagascar"/>
        <s v="Malawi"/>
        <s v="Malaysia"/>
        <s v="Maldives"/>
        <s v="Mali"/>
        <s v="Malta"/>
        <s v="Mauritania"/>
        <s v="Mauritius"/>
        <s v="Mexico"/>
        <s v="Moldova"/>
        <s v="Monaco"/>
        <s v="Mongolia"/>
        <s v="Montenegro"/>
        <s v="Morocco"/>
        <s v="Mozambique"/>
        <s v="Namibia"/>
        <s v="Nepal"/>
        <s v="Netherlands"/>
        <s v="New Zealand"/>
        <s v="Nicaragua"/>
        <s v="Niger"/>
        <s v="Nigeria"/>
        <s v="North Macedonia"/>
        <s v="Norway"/>
        <s v="Oman"/>
        <s v="Pakistan"/>
        <s v="Panama"/>
        <s v="Papua New Guinea"/>
        <s v="Paraguay"/>
        <s v="Peru"/>
        <s v="Philippines"/>
        <s v="Poland"/>
        <s v="Portugal"/>
        <s v="Qatar"/>
        <s v="Romania"/>
        <s v="Russia"/>
        <s v="Rwanda"/>
        <s v="Saint Kitts and Nevis"/>
        <s v="Saint Lucia"/>
        <s v="Saint Vincent and the Grenadines"/>
        <s v="San Marino"/>
        <s v="Sao Tome and Principe"/>
        <s v="Saudi Arabia"/>
        <s v="Senegal"/>
        <s v="Serbia"/>
        <s v="Seychelles"/>
        <s v="Sierra Leone"/>
        <s v="Singapore"/>
        <s v="Slovakia"/>
        <s v="Slovenia"/>
        <s v="Somalia"/>
        <s v="South Africa"/>
        <s v="South Korea"/>
        <s v="South Sudan"/>
        <s v="Spain"/>
        <s v="Sri Lanka"/>
        <s v="Sudan"/>
        <s v="Suriname"/>
        <s v="Sweden"/>
        <s v="Switzerland"/>
        <s v="Syria"/>
        <s v="Taiwan"/>
        <s v="Tajikistan"/>
        <s v="Tanzania"/>
        <s v="Thailand"/>
        <s v="Timor-Leste"/>
        <s v="Togo"/>
        <s v="Trinidad and Tobago"/>
        <s v="Tunisia"/>
        <s v="Turkey"/>
        <s v="US"/>
        <s v="Uganda"/>
        <s v="Ukraine"/>
        <s v="United Arab Emirates"/>
        <s v="United Kingdom"/>
        <s v="Uruguay"/>
        <s v="Uzbekistan"/>
        <s v="Venezuela"/>
        <s v="Vietnam"/>
        <s v="West Bank and Gaza"/>
        <s v="Western Sahara"/>
        <s v="Yemen"/>
        <s v="Zambia"/>
        <s v="Zimbabwe"/>
      </sharedItems>
    </cacheField>
    <cacheField name="Confirmed" numFmtId="0">
      <sharedItems containsSemiMixedTypes="0" containsString="0" containsNumber="1" containsInteger="1" minValue="10" maxValue="4290259" count="184">
        <n v="36263"/>
        <n v="4880"/>
        <n v="27973"/>
        <n v="907"/>
        <n v="950"/>
        <n v="86"/>
        <n v="167416"/>
        <n v="37390"/>
        <n v="15303"/>
        <n v="20558"/>
        <n v="30446"/>
        <n v="382"/>
        <n v="39482"/>
        <n v="226225"/>
        <n v="110"/>
        <n v="67251"/>
        <n v="66428"/>
        <n v="48"/>
        <n v="1770"/>
        <n v="99"/>
        <n v="71181"/>
        <n v="10498"/>
        <n v="739"/>
        <n v="2442375"/>
        <n v="141"/>
        <n v="10621"/>
        <n v="1100"/>
        <n v="350"/>
        <n v="378"/>
        <n v="2328"/>
        <n v="226"/>
        <n v="17110"/>
        <n v="116458"/>
        <n v="4599"/>
        <n v="922"/>
        <n v="347923"/>
        <n v="86783"/>
        <n v="257101"/>
        <n v="354"/>
        <n v="3200"/>
        <n v="8844"/>
        <n v="15841"/>
        <n v="15655"/>
        <n v="4881"/>
        <n v="2532"/>
        <n v="1060"/>
        <n v="15516"/>
        <n v="13761"/>
        <n v="5059"/>
        <n v="18"/>
        <n v="64156"/>
        <n v="81161"/>
        <n v="92482"/>
        <n v="15035"/>
        <n v="3071"/>
        <n v="265"/>
        <n v="2034"/>
        <n v="2316"/>
        <n v="14547"/>
        <n v="27"/>
        <n v="7398"/>
        <n v="220352"/>
        <n v="7189"/>
        <n v="326"/>
        <n v="1137"/>
        <n v="207112"/>
        <n v="33624"/>
        <n v="4227"/>
        <n v="14"/>
        <n v="23"/>
        <n v="45309"/>
        <n v="7055"/>
        <n v="1954"/>
        <n v="389"/>
        <n v="7340"/>
        <n v="12"/>
        <n v="39741"/>
        <n v="4448"/>
        <n v="1854"/>
        <n v="1480073"/>
        <n v="100303"/>
        <n v="293606"/>
        <n v="112585"/>
        <n v="25892"/>
        <n v="63985"/>
        <n v="246286"/>
        <n v="853"/>
        <n v="31142"/>
        <n v="1176"/>
        <n v="84648"/>
        <n v="17975"/>
        <n v="7413"/>
        <n v="64379"/>
        <n v="33296"/>
        <n v="20"/>
        <n v="1219"/>
        <n v="3882"/>
        <n v="505"/>
        <n v="1167"/>
        <n v="2827"/>
        <n v="2019"/>
        <n v="6321"/>
        <n v="9690"/>
        <n v="3664"/>
        <n v="8904"/>
        <n v="3369"/>
        <n v="2513"/>
        <n v="701"/>
        <n v="6208"/>
        <n v="344"/>
        <n v="395489"/>
        <n v="23154"/>
        <n v="116"/>
        <n v="289"/>
        <n v="2893"/>
        <n v="20887"/>
        <n v="1701"/>
        <n v="1843"/>
        <n v="18752"/>
        <n v="53413"/>
        <n v="1557"/>
        <n v="3439"/>
        <n v="1132"/>
        <n v="41180"/>
        <n v="10213"/>
        <n v="9132"/>
        <n v="77058"/>
        <n v="274289"/>
        <n v="61442"/>
        <n v="62"/>
        <n v="4548"/>
        <n v="389717"/>
        <n v="82040"/>
        <n v="43402"/>
        <n v="50299"/>
        <n v="109597"/>
        <n v="45902"/>
        <n v="816680"/>
        <n v="1879"/>
        <n v="17"/>
        <n v="24"/>
        <n v="52"/>
        <n v="699"/>
        <n v="865"/>
        <n v="268934"/>
        <n v="9764"/>
        <n v="24141"/>
        <n v="114"/>
        <n v="1783"/>
        <n v="50838"/>
        <n v="2181"/>
        <n v="2087"/>
        <n v="3196"/>
        <n v="452529"/>
        <n v="14203"/>
        <n v="2305"/>
        <n v="272421"/>
        <n v="2805"/>
        <n v="11424"/>
        <n v="1483"/>
        <n v="79395"/>
        <n v="34477"/>
        <n v="674"/>
        <n v="462"/>
        <n v="7235"/>
        <n v="509"/>
        <n v="3297"/>
        <n v="874"/>
        <n v="148"/>
        <n v="1455"/>
        <n v="227019"/>
        <n v="4290259"/>
        <n v="1128"/>
        <n v="67096"/>
        <n v="59177"/>
        <n v="301708"/>
        <n v="1202"/>
        <n v="21209"/>
        <n v="15988"/>
        <n v="431"/>
        <n v="10"/>
        <n v="1691"/>
        <n v="4552"/>
        <n v="2704"/>
      </sharedItems>
    </cacheField>
    <cacheField name="Deaths" numFmtId="0">
      <sharedItems containsSemiMixedTypes="0" containsString="0" containsNumber="1" containsInteger="1" minValue="0" maxValue="148011"/>
    </cacheField>
    <cacheField name="Recovered" numFmtId="0">
      <sharedItems containsSemiMixedTypes="0" containsString="0" containsNumber="1" containsInteger="1" minValue="0" maxValue="1846641"/>
    </cacheField>
    <cacheField name="Active" numFmtId="0">
      <sharedItems containsSemiMixedTypes="0" containsString="0" containsNumber="1" containsInteger="1" minValue="0" maxValue="2816444"/>
    </cacheField>
    <cacheField name="Population" numFmtId="0">
      <sharedItems containsSemiMixedTypes="0" containsString="0" containsNumber="1" containsInteger="1" minValue="528" maxValue="1411778724"/>
    </cacheField>
    <cacheField name="Continent" numFmtId="0">
      <sharedItems count="6">
        <s v="Asia"/>
        <s v="Europe"/>
        <s v="Africa"/>
        <s v="North America"/>
        <s v="South America"/>
        <s v="Australia/Oceania"/>
      </sharedItems>
    </cacheField>
    <cacheField name="Date of First Case" numFmtId="164">
      <sharedItems containsSemiMixedTypes="0" containsNonDate="0" containsDate="1" containsString="0" minDate="2019-11-17T00:00:00" maxDate="2020-05-14T00:00:00" count="57">
        <d v="2020-02-24T00:00:00"/>
        <d v="2020-03-09T00:00:00"/>
        <d v="2020-02-25T00:00:00"/>
        <d v="2020-03-02T00:00:00"/>
        <d v="2020-03-21T00:00:00"/>
        <d v="2020-03-13T00:00:00"/>
        <d v="2020-03-03T00:00:00"/>
        <d v="2020-03-01T00:00:00"/>
        <d v="2020-01-25T00:00:00"/>
        <d v="2020-02-28T00:00:00"/>
        <d v="2020-03-15T00:00:00"/>
        <d v="2020-02-21T00:00:00"/>
        <d v="2020-03-08T00:00:00"/>
        <d v="2020-03-17T00:00:00"/>
        <d v="2020-02-04T00:00:00"/>
        <d v="2020-03-23T00:00:00"/>
        <d v="2020-03-16T00:00:00"/>
        <d v="2020-03-06T00:00:00"/>
        <d v="2020-03-10T00:00:00"/>
        <d v="2020-03-05T00:00:00"/>
        <d v="2020-03-30T00:00:00"/>
        <d v="2020-02-26T00:00:00"/>
        <d v="2020-03-31T00:00:00"/>
        <d v="2020-03-20T00:00:00"/>
        <d v="2020-01-27T00:00:00"/>
        <d v="2020-03-14T00:00:00"/>
        <d v="2020-03-19T00:00:00"/>
        <d v="2019-11-17T00:00:00"/>
        <d v="2020-04-30T00:00:00"/>
        <d v="2020-03-11T00:00:00"/>
        <d v="2020-02-27T00:00:00"/>
        <d v="2020-03-18T00:00:00"/>
        <d v="2020-03-22T00:00:00"/>
        <d v="2020-02-29T00:00:00"/>
        <d v="2020-02-14T00:00:00"/>
        <d v="2019-12-27T00:00:00"/>
        <d v="2020-03-12T00:00:00"/>
        <d v="2020-03-25T00:00:00"/>
        <d v="2020-03-04T00:00:00"/>
        <d v="2020-01-30T00:00:00"/>
        <d v="2020-02-19T00:00:00"/>
        <d v="2020-02-22T00:00:00"/>
        <d v="2020-01-31T00:00:00"/>
        <d v="2020-01-16T00:00:00"/>
        <d v="2020-03-24T00:00:00"/>
        <d v="2020-05-13T00:00:00"/>
        <d v="2020-04-01T00:00:00"/>
        <d v="2020-03-07T00:00:00"/>
        <d v="2020-01-13T00:00:00"/>
        <d v="2020-04-06T00:00:00"/>
        <d v="2020-01-23T00:00:00"/>
        <d v="2020-01-20T00:00:00"/>
        <d v="2020-04-05T00:00:00"/>
        <d v="2020-01-21T00:00:00"/>
        <d v="2020-01-29T00:00:00"/>
        <d v="2020-04-04T00:00:00"/>
        <d v="2020-04-10T00:00:00"/>
      </sharedItems>
      <fieldGroup par="14"/>
    </cacheField>
    <cacheField name="Death Rate (%)" numFmtId="165">
      <sharedItems containsSemiMixedTypes="0" containsString="0" containsNumber="1" minValue="0" maxValue="0.28562980484920164" count="170">
        <n v="3.4994346854920991E-2"/>
        <n v="2.9508196721311476E-2"/>
        <n v="4.1575805240767885E-2"/>
        <n v="5.7331863285556783E-2"/>
        <n v="4.3157894736842103E-2"/>
        <n v="3.4883720930232558E-2"/>
        <n v="1.8271849763463469E-2"/>
        <n v="1.901577962021931E-2"/>
        <n v="1.0912892896817617E-2"/>
        <n v="3.4682362097480303E-2"/>
        <n v="1.389345069959929E-2"/>
        <n v="2.8795811518324606E-2"/>
        <n v="3.5712476571602247E-3"/>
        <n v="1.3106420598961211E-2"/>
        <n v="6.363636363636363E-2"/>
        <n v="7.9998810426610764E-3"/>
        <n v="0.14785933642439936"/>
        <n v="4.1666666666666664E-2"/>
        <n v="1.977401129943503E-2"/>
        <n v="0"/>
        <n v="3.7186889759907839E-2"/>
        <n v="2.8005334349399887E-2"/>
        <n v="2.7063599458728013E-3"/>
        <n v="3.5874097957930291E-2"/>
        <n v="2.1276595744680851E-2"/>
        <n v="3.2671123246398641E-2"/>
        <n v="4.818181818181818E-2"/>
        <n v="1.7142857142857144E-2"/>
        <n v="2.6455026455026454E-3"/>
        <n v="9.4501718213058413E-3"/>
        <n v="2.2852133255406196E-2"/>
        <n v="7.6800219821738305E-2"/>
        <n v="1.2828875842574472E-2"/>
        <n v="8.1344902386117135E-2"/>
        <n v="2.6405267832250241E-2"/>
        <n v="5.365106069161011E-2"/>
        <n v="3.4138334740043796E-2"/>
        <n v="1.6875000000000001E-2"/>
        <n v="2.3518769787426504E-2"/>
        <n v="7.2596426993245377E-3"/>
        <n v="6.1322261258383902E-3"/>
        <n v="2.8477770948576113E-2"/>
        <n v="3.4360189573459717E-2"/>
        <n v="1.7924528301886792E-2"/>
        <n v="2.4039700953854087E-2"/>
        <n v="4.454618123682872E-2"/>
        <n v="1.1464716347104172E-2"/>
        <n v="1.688072822495168E-2"/>
        <n v="6.8160816155542689E-2"/>
        <n v="5.0301680326982547E-2"/>
        <n v="2.7136681077485868E-2"/>
        <n v="1.6606968414197329E-2"/>
        <n v="3.3923303834808259E-2"/>
        <n v="1.468048359240069E-2"/>
        <n v="1.5673334708187256E-2"/>
        <n v="4.4471478778048121E-2"/>
        <n v="0.13710790008713331"/>
        <n v="6.815968841285297E-3"/>
        <n v="2.4539877300613498E-2"/>
        <n v="1.4072119613016711E-2"/>
        <n v="4.4058287303487965E-2"/>
        <n v="4.9964311206281229E-3"/>
        <n v="4.7788029335225926E-2"/>
        <n v="3.8866450374097861E-2"/>
        <n v="6.3784549964564135E-3"/>
        <n v="1.3306038894575231E-2"/>
        <n v="5.1413881748071981E-2"/>
        <n v="2.1525885558583105E-2"/>
        <n v="2.9339976346845827E-2"/>
        <n v="0.13399280575539568"/>
        <n v="5.3937432578209281E-3"/>
        <n v="2.2571859631247918E-2"/>
        <n v="4.8233851430166598E-2"/>
        <n v="5.4195077757266542E-2"/>
        <n v="3.9596749122884932E-2"/>
        <n v="6.8129151861578863E-2"/>
        <n v="7.407986246776588E-3"/>
        <n v="0.14256595990027854"/>
        <n v="1.1723329425556858E-2"/>
        <n v="3.2046753580373774E-2"/>
        <n v="9.3537414965986394E-3"/>
        <n v="6.9109724978735467E-3"/>
        <n v="1.5855354659248956E-2"/>
        <n v="2.4956158100634021E-2"/>
        <n v="6.8034607558365304E-3"/>
        <n v="3.9073762614127823E-2"/>
        <n v="2.5430680885972109E-2"/>
        <n v="1.3137557959814529E-2"/>
        <n v="2.3762376237623763E-2"/>
        <n v="6.1696658097686374E-2"/>
        <n v="2.2638839759462327E-2"/>
        <n v="1.1627906976744186E-2"/>
        <n v="3.9623576027736501E-2"/>
        <n v="1.7718715393133997E-2"/>
        <n v="9.3911248710010324E-3"/>
        <n v="2.7019650655021835E-2"/>
        <n v="1.3926325247079964E-2"/>
        <n v="4.4523597506678537E-3"/>
        <n v="4.9343414245921209E-2"/>
        <n v="1.2838801711840228E-2"/>
        <n v="2.5128865979381444E-2"/>
        <n v="2.9069767441860465E-2"/>
        <n v="0.11131030193001576"/>
        <n v="3.2305433186490456E-2"/>
        <n v="3.4482758620689655E-2"/>
        <n v="1.5554787417905289E-2"/>
        <n v="1.5129027624838417E-2"/>
        <n v="6.4667842445620223E-3"/>
        <n v="4.3407487791644059E-3"/>
        <n v="2.5597269624573378E-3"/>
        <n v="0.11532772920450078"/>
        <n v="1.4129736673089274E-2"/>
        <n v="3.1404478045943589E-2"/>
        <n v="6.0954063604240286E-2"/>
        <n v="2.0883924235065566E-2"/>
        <n v="4.5628121022226575E-2"/>
        <n v="2.7923784494086726E-2"/>
        <n v="5.1000545043992833E-3"/>
        <n v="2.1298703192618004E-2"/>
        <n v="2.1516226685329255E-2"/>
        <n v="9.4547053649956022E-3"/>
        <n v="4.7259934773181564E-2"/>
        <n v="2.370794734275963E-2"/>
        <n v="3.8615731993917331E-2"/>
        <n v="3.4175629734189548E-2"/>
        <n v="1.5055156619250528E-3"/>
        <n v="4.805890810857915E-2"/>
        <n v="1.6327080374197972E-2"/>
        <n v="2.6609898882384245E-3"/>
        <n v="6.0085836909871244E-2"/>
        <n v="1.6184971098265895E-2"/>
        <n v="1.0262741044271086E-2"/>
        <n v="1.9868906185989348E-2"/>
        <n v="2.2492854479930408E-2"/>
        <n v="3.7016264722378012E-2"/>
        <n v="5.3109878437389356E-4"/>
        <n v="1.2838147638697846E-2"/>
        <n v="5.558217537134643E-2"/>
        <n v="2.9098873591989989E-2"/>
        <n v="1.5616678710093718E-2"/>
        <n v="2.1122298106033936E-2"/>
        <n v="1.9956616052060738E-2"/>
        <n v="0.10436787178668311"/>
        <n v="3.9215686274509803E-3"/>
        <n v="6.3025210084033612E-2"/>
        <n v="1.6183412002697236E-2"/>
        <n v="7.1792934063857922E-2"/>
        <n v="5.7371581054036024E-2"/>
        <n v="5.9347181008902079E-2"/>
        <n v="1.5151515151515152E-2"/>
        <n v="8.2930200414651004E-3"/>
        <n v="4.1257367387033402E-2"/>
        <n v="1.7591750075826508E-2"/>
        <n v="2.0594965675057208E-2"/>
        <n v="5.4054054054054057E-2"/>
        <n v="3.4364261168384883E-2"/>
        <n v="2.4799686369863315E-2"/>
        <n v="3.4499315775574385E-2"/>
        <n v="1.7730496453900709E-3"/>
        <n v="2.4382973649695959E-2"/>
        <n v="5.8299677239468037E-3"/>
        <n v="0.15194824134593712"/>
        <n v="2.9118136439267885E-2"/>
        <n v="5.7051251827054551E-3"/>
        <n v="9.1318488866649981E-3"/>
        <n v="7.3439412484700125E-3"/>
        <n v="0.1"/>
        <n v="0.28562980484920164"/>
        <n v="3.0755711775043937E-2"/>
        <n v="1.3313609467455622E-2"/>
      </sharedItems>
    </cacheField>
    <cacheField name="Recovery Rate (%)" numFmtId="165">
      <sharedItems containsSemiMixedTypes="0" containsString="0" containsNumber="1" minValue="0" maxValue="1"/>
    </cacheField>
    <cacheField name="Infection Rate (%)" numFmtId="165">
      <sharedItems containsSemiMixedTypes="0" containsString="0" containsNumber="1" minValue="2.7450845829187114E-6" maxValue="3.9032981278970584E-2"/>
    </cacheField>
    <cacheField name="Risk Impact" numFmtId="0">
      <sharedItems/>
    </cacheField>
    <cacheField name="Months (Date of First Case)" numFmtId="0" databaseField="0">
      <fieldGroup base="7">
        <rangePr groupBy="months" startDate="2019-11-17T00:00:00" endDate="2020-05-14T00:00:00"/>
        <groupItems count="14">
          <s v="&lt;17-11-2019"/>
          <s v="Jan"/>
          <s v="Feb"/>
          <s v="Mar"/>
          <s v="Apr"/>
          <s v="May"/>
          <s v="Jun"/>
          <s v="Jul"/>
          <s v="Aug"/>
          <s v="Sep"/>
          <s v="Oct"/>
          <s v="Nov"/>
          <s v="Dec"/>
          <s v="&gt;14-05-2020"/>
        </groupItems>
      </fieldGroup>
    </cacheField>
    <cacheField name="Quarters (Date of First Case)" numFmtId="0" databaseField="0">
      <fieldGroup base="7">
        <rangePr groupBy="quarters" startDate="2019-11-17T00:00:00" endDate="2020-05-14T00:00:00"/>
        <groupItems count="6">
          <s v="&lt;17-11-2019"/>
          <s v="Qtr1"/>
          <s v="Qtr2"/>
          <s v="Qtr3"/>
          <s v="Qtr4"/>
          <s v="&gt;14-05-2020"/>
        </groupItems>
      </fieldGroup>
    </cacheField>
    <cacheField name="Years (Date of First Case)" numFmtId="0" databaseField="0">
      <fieldGroup base="7">
        <rangePr groupBy="years" startDate="2019-11-17T00:00:00" endDate="2020-05-14T00:00:00"/>
        <groupItems count="4">
          <s v="&lt;17-11-2019"/>
          <s v="2019"/>
          <s v="2020"/>
          <s v="&gt;14-05-2020"/>
        </groupItems>
      </fieldGroup>
    </cacheField>
  </cacheFields>
  <extLst>
    <ext xmlns:x14="http://schemas.microsoft.com/office/spreadsheetml/2009/9/main" uri="{725AE2AE-9491-48be-B2B4-4EB974FC3084}">
      <x14:pivotCacheDefinition pivotCacheId="16780436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n v="1269"/>
    <n v="25198"/>
    <n v="9796"/>
    <n v="39009447"/>
    <x v="0"/>
    <x v="0"/>
    <x v="0"/>
    <n v="0.69486804732096075"/>
    <n v="9.2959533622714516E-4"/>
    <s v="Modrate Risk"/>
  </r>
  <r>
    <x v="1"/>
    <x v="1"/>
    <n v="144"/>
    <n v="2745"/>
    <n v="1991"/>
    <n v="2877470"/>
    <x v="1"/>
    <x v="1"/>
    <x v="1"/>
    <n v="0.5625"/>
    <n v="1.6959342755962703E-3"/>
    <s v="Modrate Risk"/>
  </r>
  <r>
    <x v="2"/>
    <x v="2"/>
    <n v="1163"/>
    <n v="18837"/>
    <n v="7973"/>
    <n v="43926079"/>
    <x v="2"/>
    <x v="2"/>
    <x v="2"/>
    <n v="0.67339934937260926"/>
    <n v="6.3681987185790017E-4"/>
    <s v="Modrate Risk"/>
  </r>
  <r>
    <x v="3"/>
    <x v="3"/>
    <n v="52"/>
    <n v="803"/>
    <n v="52"/>
    <n v="77278"/>
    <x v="1"/>
    <x v="3"/>
    <x v="3"/>
    <n v="0.88533627342888643"/>
    <n v="1.1736846191671627E-2"/>
    <s v="High Risk"/>
  </r>
  <r>
    <x v="4"/>
    <x v="4"/>
    <n v="41"/>
    <n v="242"/>
    <n v="667"/>
    <n v="32956300"/>
    <x v="2"/>
    <x v="4"/>
    <x v="4"/>
    <n v="0.25473684210526315"/>
    <n v="2.8826051468156317E-5"/>
    <s v="Modrate Risk"/>
  </r>
  <r>
    <x v="5"/>
    <x v="5"/>
    <n v="3"/>
    <n v="65"/>
    <n v="18"/>
    <n v="98010"/>
    <x v="3"/>
    <x v="5"/>
    <x v="5"/>
    <n v="0.7558139534883721"/>
    <n v="8.7746148352208962E-4"/>
    <s v="Modrate Risk"/>
  </r>
  <r>
    <x v="6"/>
    <x v="6"/>
    <n v="3059"/>
    <n v="72575"/>
    <n v="91782"/>
    <n v="45236884"/>
    <x v="4"/>
    <x v="6"/>
    <x v="6"/>
    <n v="0.43350097959573758"/>
    <n v="3.7008738267649026E-3"/>
    <s v="Low Risk"/>
  </r>
  <r>
    <x v="7"/>
    <x v="7"/>
    <n v="711"/>
    <n v="26665"/>
    <n v="10014"/>
    <n v="2963811"/>
    <x v="0"/>
    <x v="7"/>
    <x v="7"/>
    <n v="0.71315859855576358"/>
    <n v="1.2615514282118529E-2"/>
    <s v="Low Risk"/>
  </r>
  <r>
    <x v="8"/>
    <x v="8"/>
    <n v="167"/>
    <n v="9311"/>
    <n v="5825"/>
    <n v="25528864"/>
    <x v="5"/>
    <x v="8"/>
    <x v="8"/>
    <n v="0.60844278899562176"/>
    <n v="5.9943912897965216E-4"/>
    <s v="Low Risk"/>
  </r>
  <r>
    <x v="9"/>
    <x v="9"/>
    <n v="713"/>
    <n v="18246"/>
    <n v="1599"/>
    <n v="9011577"/>
    <x v="1"/>
    <x v="2"/>
    <x v="9"/>
    <n v="0.88753769821967121"/>
    <n v="2.2812877257776302E-3"/>
    <s v="Modrate Risk"/>
  </r>
  <r>
    <x v="10"/>
    <x v="10"/>
    <n v="423"/>
    <n v="23242"/>
    <n v="6781"/>
    <n v="10148243"/>
    <x v="0"/>
    <x v="9"/>
    <x v="10"/>
    <n v="0.76338435262431847"/>
    <n v="3.0001252433549336E-3"/>
    <s v="Low Risk"/>
  </r>
  <r>
    <x v="11"/>
    <x v="11"/>
    <n v="11"/>
    <n v="91"/>
    <n v="280"/>
    <n v="393616"/>
    <x v="3"/>
    <x v="10"/>
    <x v="11"/>
    <n v="0.23821989528795812"/>
    <n v="9.7048900451201169E-4"/>
    <s v="Modrate Risk"/>
  </r>
  <r>
    <x v="12"/>
    <x v="12"/>
    <n v="141"/>
    <n v="36110"/>
    <n v="3231"/>
    <n v="1706669"/>
    <x v="0"/>
    <x v="11"/>
    <x v="12"/>
    <n v="0.91459399219897675"/>
    <n v="2.3133952746548978E-2"/>
    <s v="Low Risk"/>
  </r>
  <r>
    <x v="13"/>
    <x v="13"/>
    <n v="2965"/>
    <n v="125683"/>
    <n v="97577"/>
    <n v="164851401"/>
    <x v="0"/>
    <x v="12"/>
    <x v="13"/>
    <n v="0.55556636092385903"/>
    <n v="1.3722964962851604E-3"/>
    <s v="Low Risk"/>
  </r>
  <r>
    <x v="14"/>
    <x v="14"/>
    <n v="7"/>
    <n v="94"/>
    <n v="9"/>
    <n v="287411"/>
    <x v="3"/>
    <x v="13"/>
    <x v="14"/>
    <n v="0.8545454545454545"/>
    <n v="3.8272717467320317E-4"/>
    <s v="High Risk"/>
  </r>
  <r>
    <x v="15"/>
    <x v="15"/>
    <n v="538"/>
    <n v="60492"/>
    <n v="6221"/>
    <n v="9449001"/>
    <x v="1"/>
    <x v="9"/>
    <x v="15"/>
    <n v="0.89949591827630815"/>
    <n v="7.1172603326002401E-3"/>
    <s v="Low Risk"/>
  </r>
  <r>
    <x v="16"/>
    <x v="16"/>
    <n v="9822"/>
    <n v="17452"/>
    <n v="39154"/>
    <n v="11594739"/>
    <x v="1"/>
    <x v="14"/>
    <x v="16"/>
    <n v="0.26272053953152286"/>
    <n v="5.7291500912612179E-3"/>
    <s v="High Risk"/>
  </r>
  <r>
    <x v="17"/>
    <x v="17"/>
    <n v="2"/>
    <n v="26"/>
    <n v="20"/>
    <n v="398312"/>
    <x v="3"/>
    <x v="15"/>
    <x v="17"/>
    <n v="0.54166666666666663"/>
    <n v="1.2050854606439174E-4"/>
    <s v="Modrate Risk"/>
  </r>
  <r>
    <x v="18"/>
    <x v="18"/>
    <n v="35"/>
    <n v="1036"/>
    <n v="699"/>
    <n v="12151976"/>
    <x v="2"/>
    <x v="16"/>
    <x v="18"/>
    <n v="0.58531073446327686"/>
    <n v="1.4565532387489903E-4"/>
    <s v="Low Risk"/>
  </r>
  <r>
    <x v="19"/>
    <x v="19"/>
    <n v="0"/>
    <n v="86"/>
    <n v="13"/>
    <n v="772443"/>
    <x v="0"/>
    <x v="17"/>
    <x v="19"/>
    <n v="0.86868686868686873"/>
    <n v="1.2816479662577045E-4"/>
    <s v="Low Risk"/>
  </r>
  <r>
    <x v="20"/>
    <x v="20"/>
    <n v="2647"/>
    <n v="21478"/>
    <n v="47056"/>
    <n v="11688459"/>
    <x v="4"/>
    <x v="18"/>
    <x v="20"/>
    <n v="0.30173782329554233"/>
    <n v="6.0898532475495704E-3"/>
    <s v="Modrate Risk"/>
  </r>
  <r>
    <x v="21"/>
    <x v="21"/>
    <n v="294"/>
    <n v="4930"/>
    <n v="5274"/>
    <n v="3278650"/>
    <x v="1"/>
    <x v="19"/>
    <x v="21"/>
    <n v="0.46961325966850831"/>
    <n v="3.2019276226495663E-3"/>
    <s v="Modrate Risk"/>
  </r>
  <r>
    <x v="22"/>
    <x v="22"/>
    <n v="2"/>
    <n v="63"/>
    <n v="674"/>
    <n v="2356075"/>
    <x v="2"/>
    <x v="20"/>
    <x v="22"/>
    <n v="8.5250338294993233E-2"/>
    <n v="3.1365724775314879E-4"/>
    <s v="Low Risk"/>
  </r>
  <r>
    <x v="23"/>
    <x v="23"/>
    <n v="87618"/>
    <n v="1846641"/>
    <n v="508116"/>
    <n v="212710692"/>
    <x v="4"/>
    <x v="21"/>
    <x v="23"/>
    <n v="0.75608413941348074"/>
    <n v="1.1482144959596107E-2"/>
    <s v="Modrate Risk"/>
  </r>
  <r>
    <x v="24"/>
    <x v="24"/>
    <n v="3"/>
    <n v="138"/>
    <n v="0"/>
    <n v="437893"/>
    <x v="0"/>
    <x v="1"/>
    <x v="24"/>
    <n v="0.97872340425531912"/>
    <n v="3.2199646945715047E-4"/>
    <s v="Modrate Risk"/>
  </r>
  <r>
    <x v="25"/>
    <x v="25"/>
    <n v="347"/>
    <n v="5585"/>
    <n v="4689"/>
    <n v="6942854"/>
    <x v="1"/>
    <x v="12"/>
    <x v="25"/>
    <n v="0.52584502400903865"/>
    <n v="1.5297743550418891E-3"/>
    <s v="Modrate Risk"/>
  </r>
  <r>
    <x v="26"/>
    <x v="26"/>
    <n v="53"/>
    <n v="926"/>
    <n v="121"/>
    <n v="20954852"/>
    <x v="2"/>
    <x v="1"/>
    <x v="26"/>
    <n v="0.8418181818181818"/>
    <n v="5.2493809071044739E-5"/>
    <s v="Modrate Risk"/>
  </r>
  <r>
    <x v="27"/>
    <x v="27"/>
    <n v="6"/>
    <n v="292"/>
    <n v="52"/>
    <n v="54446389"/>
    <x v="0"/>
    <x v="15"/>
    <x v="27"/>
    <n v="0.8342857142857143"/>
    <n v="6.4283418318155129E-6"/>
    <s v="Low Risk"/>
  </r>
  <r>
    <x v="28"/>
    <x v="28"/>
    <n v="1"/>
    <n v="301"/>
    <n v="76"/>
    <n v="11922216"/>
    <x v="2"/>
    <x v="22"/>
    <x v="28"/>
    <n v="0.79629629629629628"/>
    <n v="3.1705515149197092E-5"/>
    <s v="Low Risk"/>
  </r>
  <r>
    <x v="29"/>
    <x v="29"/>
    <n v="22"/>
    <n v="1550"/>
    <n v="756"/>
    <n v="556581"/>
    <x v="2"/>
    <x v="23"/>
    <x v="29"/>
    <n v="0.66580756013745701"/>
    <n v="4.1826796099759065E-3"/>
    <s v="Low Risk"/>
  </r>
  <r>
    <x v="30"/>
    <x v="30"/>
    <n v="0"/>
    <n v="147"/>
    <n v="79"/>
    <n v="16741375"/>
    <x v="0"/>
    <x v="24"/>
    <x v="19"/>
    <n v="0.65044247787610621"/>
    <n v="1.349948854260776E-5"/>
    <s v="Low Risk"/>
  </r>
  <r>
    <x v="31"/>
    <x v="31"/>
    <n v="391"/>
    <n v="14539"/>
    <n v="2180"/>
    <n v="26606188"/>
    <x v="2"/>
    <x v="17"/>
    <x v="30"/>
    <n v="0.84973699590882523"/>
    <n v="6.4308348118114476E-4"/>
    <s v="Modrate Risk"/>
  </r>
  <r>
    <x v="32"/>
    <x v="32"/>
    <n v="8944"/>
    <n v="0"/>
    <n v="107514"/>
    <n v="37775022"/>
    <x v="3"/>
    <x v="8"/>
    <x v="31"/>
    <n v="0"/>
    <n v="3.0829366558674672E-3"/>
    <s v="High Risk"/>
  </r>
  <r>
    <x v="33"/>
    <x v="33"/>
    <n v="59"/>
    <n v="1546"/>
    <n v="2994"/>
    <n v="4837752"/>
    <x v="2"/>
    <x v="25"/>
    <x v="32"/>
    <n v="0.33616003479017176"/>
    <n v="9.5064815228229974E-4"/>
    <s v="Low Risk"/>
  </r>
  <r>
    <x v="34"/>
    <x v="34"/>
    <n v="75"/>
    <n v="810"/>
    <n v="37"/>
    <n v="17224679"/>
    <x v="2"/>
    <x v="26"/>
    <x v="33"/>
    <n v="0.87852494577006512"/>
    <n v="5.3527848037110008E-5"/>
    <s v="High Risk"/>
  </r>
  <r>
    <x v="35"/>
    <x v="35"/>
    <n v="9187"/>
    <n v="319954"/>
    <n v="18782"/>
    <n v="19132514"/>
    <x v="4"/>
    <x v="6"/>
    <x v="34"/>
    <n v="0.91961152323933748"/>
    <n v="1.8184907639424697E-2"/>
    <s v="Modrate Risk"/>
  </r>
  <r>
    <x v="36"/>
    <x v="36"/>
    <n v="4656"/>
    <n v="78869"/>
    <n v="3258"/>
    <n v="1411778724"/>
    <x v="2"/>
    <x v="27"/>
    <x v="35"/>
    <n v="0.90880702441722461"/>
    <n v="6.1470681293536756E-5"/>
    <s v="High Risk"/>
  </r>
  <r>
    <x v="37"/>
    <x v="37"/>
    <n v="8777"/>
    <n v="131161"/>
    <n v="117163"/>
    <n v="50936262"/>
    <x v="4"/>
    <x v="17"/>
    <x v="36"/>
    <n v="0.51015359722443709"/>
    <n v="5.0475042711222119E-3"/>
    <s v="Modrate Risk"/>
  </r>
  <r>
    <x v="38"/>
    <x v="38"/>
    <n v="7"/>
    <n v="328"/>
    <n v="19"/>
    <n v="871326"/>
    <x v="2"/>
    <x v="28"/>
    <x v="18"/>
    <n v="0.92655367231638419"/>
    <n v="4.0627732903643414E-4"/>
    <s v="Low Risk"/>
  </r>
  <r>
    <x v="39"/>
    <x v="39"/>
    <n v="54"/>
    <n v="829"/>
    <n v="2317"/>
    <n v="5530506"/>
    <x v="2"/>
    <x v="25"/>
    <x v="37"/>
    <n v="0.25906249999999997"/>
    <n v="5.7860890124701071E-4"/>
    <s v="Low Risk"/>
  </r>
  <r>
    <x v="40"/>
    <x v="40"/>
    <n v="208"/>
    <n v="5700"/>
    <n v="2936"/>
    <n v="96076573"/>
    <x v="2"/>
    <x v="18"/>
    <x v="38"/>
    <n v="0.64450474898236088"/>
    <n v="9.2051576402501362E-5"/>
    <s v="Modrate Risk"/>
  </r>
  <r>
    <x v="41"/>
    <x v="41"/>
    <n v="115"/>
    <n v="3824"/>
    <n v="11902"/>
    <n v="5098730"/>
    <x v="3"/>
    <x v="17"/>
    <x v="39"/>
    <n v="0.24139890158449592"/>
    <n v="3.1068520984637352E-3"/>
    <s v="Low Risk"/>
  </r>
  <r>
    <x v="42"/>
    <x v="42"/>
    <n v="96"/>
    <n v="10361"/>
    <n v="5198"/>
    <n v="26172000"/>
    <x v="2"/>
    <x v="29"/>
    <x v="40"/>
    <n v="0.66183328010220377"/>
    <n v="5.9815833715421058E-4"/>
    <s v="Low Risk"/>
  </r>
  <r>
    <x v="43"/>
    <x v="43"/>
    <n v="139"/>
    <n v="3936"/>
    <n v="806"/>
    <n v="4102577"/>
    <x v="1"/>
    <x v="2"/>
    <x v="41"/>
    <n v="0.80639213275968036"/>
    <n v="1.1897400097548444E-3"/>
    <s v="Modrate Risk"/>
  </r>
  <r>
    <x v="44"/>
    <x v="44"/>
    <n v="87"/>
    <n v="2351"/>
    <n v="94"/>
    <n v="11325899"/>
    <x v="3"/>
    <x v="29"/>
    <x v="42"/>
    <n v="0.92851500789889418"/>
    <n v="2.2355841244920161E-4"/>
    <s v="Modrate Risk"/>
  </r>
  <r>
    <x v="45"/>
    <x v="45"/>
    <n v="19"/>
    <n v="852"/>
    <n v="189"/>
    <n v="1208238"/>
    <x v="0"/>
    <x v="1"/>
    <x v="43"/>
    <n v="0.80377358490566042"/>
    <n v="8.7731059609116749E-4"/>
    <s v="Low Risk"/>
  </r>
  <r>
    <x v="46"/>
    <x v="46"/>
    <n v="373"/>
    <n v="11428"/>
    <n v="3715"/>
    <n v="10711019"/>
    <x v="1"/>
    <x v="7"/>
    <x v="44"/>
    <n v="0.7365300335137922"/>
    <n v="1.4486016689915311E-3"/>
    <s v="Modrate Risk"/>
  </r>
  <r>
    <x v="47"/>
    <x v="47"/>
    <n v="613"/>
    <n v="12605"/>
    <n v="543"/>
    <n v="5794279"/>
    <x v="1"/>
    <x v="30"/>
    <x v="45"/>
    <n v="0.91599447714555626"/>
    <n v="2.3749287875160997E-3"/>
    <s v="Modrate Risk"/>
  </r>
  <r>
    <x v="48"/>
    <x v="48"/>
    <n v="58"/>
    <n v="4977"/>
    <n v="24"/>
    <n v="989387"/>
    <x v="2"/>
    <x v="31"/>
    <x v="46"/>
    <n v="0.98379126309547338"/>
    <n v="5.1132671037723357E-3"/>
    <s v="Low Risk"/>
  </r>
  <r>
    <x v="49"/>
    <x v="49"/>
    <n v="0"/>
    <n v="18"/>
    <n v="0"/>
    <n v="72004"/>
    <x v="3"/>
    <x v="32"/>
    <x v="19"/>
    <n v="1"/>
    <n v="2.4998611188267316E-4"/>
    <s v="Low Risk"/>
  </r>
  <r>
    <x v="50"/>
    <x v="50"/>
    <n v="1083"/>
    <n v="30204"/>
    <n v="32869"/>
    <n v="10858648"/>
    <x v="3"/>
    <x v="7"/>
    <x v="47"/>
    <n v="0.47078994949809838"/>
    <n v="5.9082861881147638E-3"/>
    <s v="Low Risk"/>
  </r>
  <r>
    <x v="51"/>
    <x v="51"/>
    <n v="5532"/>
    <n v="34896"/>
    <n v="40733"/>
    <n v="17668824"/>
    <x v="4"/>
    <x v="33"/>
    <x v="48"/>
    <n v="0.42996020256034301"/>
    <n v="4.5934579460410038E-3"/>
    <s v="High Risk"/>
  </r>
  <r>
    <x v="52"/>
    <x v="52"/>
    <n v="4652"/>
    <n v="34838"/>
    <n v="52992"/>
    <n v="102516525"/>
    <x v="2"/>
    <x v="34"/>
    <x v="49"/>
    <n v="0.37670033087519733"/>
    <n v="9.0211797561417541E-4"/>
    <s v="High Risk"/>
  </r>
  <r>
    <x v="53"/>
    <x v="53"/>
    <n v="408"/>
    <n v="7778"/>
    <n v="6849"/>
    <n v="6489514"/>
    <x v="3"/>
    <x v="26"/>
    <x v="50"/>
    <n v="0.51732623877618888"/>
    <n v="2.3168144794818227E-3"/>
    <s v="Modrate Risk"/>
  </r>
  <r>
    <x v="54"/>
    <x v="54"/>
    <n v="51"/>
    <n v="842"/>
    <n v="2178"/>
    <n v="1407001"/>
    <x v="2"/>
    <x v="25"/>
    <x v="51"/>
    <n v="0.27417779225008143"/>
    <n v="2.1826565865980196E-3"/>
    <s v="Low Risk"/>
  </r>
  <r>
    <x v="55"/>
    <x v="55"/>
    <n v="0"/>
    <n v="191"/>
    <n v="74"/>
    <n v="3551175"/>
    <x v="2"/>
    <x v="4"/>
    <x v="19"/>
    <n v="0.72075471698113203"/>
    <n v="7.4623188099713479E-5"/>
    <s v="Low Risk"/>
  </r>
  <r>
    <x v="56"/>
    <x v="56"/>
    <n v="69"/>
    <n v="1923"/>
    <n v="42"/>
    <n v="1326627"/>
    <x v="1"/>
    <x v="30"/>
    <x v="52"/>
    <n v="0.94542772861356927"/>
    <n v="1.5332116714042456E-3"/>
    <s v="Modrate Risk"/>
  </r>
  <r>
    <x v="57"/>
    <x v="57"/>
    <n v="34"/>
    <n v="1025"/>
    <n v="1257"/>
    <n v="1161348"/>
    <x v="2"/>
    <x v="25"/>
    <x v="53"/>
    <n v="0.442573402417962"/>
    <n v="1.9942342863637774E-3"/>
    <s v="Low Risk"/>
  </r>
  <r>
    <x v="58"/>
    <x v="58"/>
    <n v="228"/>
    <n v="6386"/>
    <n v="7933"/>
    <n v="115223736"/>
    <x v="2"/>
    <x v="5"/>
    <x v="54"/>
    <n v="0.43899085722142023"/>
    <n v="1.2625002890029533E-4"/>
    <s v="Low Risk"/>
  </r>
  <r>
    <x v="59"/>
    <x v="59"/>
    <n v="0"/>
    <n v="18"/>
    <n v="9"/>
    <n v="897095"/>
    <x v="5"/>
    <x v="26"/>
    <x v="19"/>
    <n v="0.66666666666666663"/>
    <n v="3.0097146901944609E-5"/>
    <s v="Low Risk"/>
  </r>
  <r>
    <x v="60"/>
    <x v="60"/>
    <n v="329"/>
    <n v="6920"/>
    <n v="149"/>
    <n v="5541604"/>
    <x v="1"/>
    <x v="21"/>
    <x v="55"/>
    <n v="0.93538794268721281"/>
    <n v="1.334992540066017E-3"/>
    <s v="Modrate Risk"/>
  </r>
  <r>
    <x v="61"/>
    <x v="61"/>
    <n v="30212"/>
    <n v="81212"/>
    <n v="108928"/>
    <n v="65288306"/>
    <x v="1"/>
    <x v="35"/>
    <x v="56"/>
    <n v="0.36855576532094103"/>
    <n v="3.3750607650932158E-3"/>
    <s v="High Risk"/>
  </r>
  <r>
    <x v="62"/>
    <x v="62"/>
    <n v="49"/>
    <n v="4682"/>
    <n v="2458"/>
    <n v="2230563"/>
    <x v="2"/>
    <x v="36"/>
    <x v="57"/>
    <n v="0.65127277785505633"/>
    <n v="3.2229531288737417E-3"/>
    <s v="Low Risk"/>
  </r>
  <r>
    <x v="63"/>
    <x v="63"/>
    <n v="8"/>
    <n v="66"/>
    <n v="252"/>
    <n v="2422754"/>
    <x v="2"/>
    <x v="13"/>
    <x v="58"/>
    <n v="0.20245398773006135"/>
    <n v="1.345576150116768E-4"/>
    <s v="Modrate Risk"/>
  </r>
  <r>
    <x v="64"/>
    <x v="64"/>
    <n v="16"/>
    <n v="922"/>
    <n v="199"/>
    <n v="3988368"/>
    <x v="0"/>
    <x v="21"/>
    <x v="59"/>
    <n v="0.81090589270008795"/>
    <n v="2.8507900976038319E-4"/>
    <s v="Low Risk"/>
  </r>
  <r>
    <x v="65"/>
    <x v="65"/>
    <n v="9125"/>
    <n v="190314"/>
    <n v="7673"/>
    <n v="83811260"/>
    <x v="1"/>
    <x v="24"/>
    <x v="60"/>
    <n v="0.91889412491791878"/>
    <n v="2.4711715347078664E-3"/>
    <s v="Modrate Risk"/>
  </r>
  <r>
    <x v="66"/>
    <x v="66"/>
    <n v="168"/>
    <n v="29801"/>
    <n v="3655"/>
    <n v="31133483"/>
    <x v="2"/>
    <x v="36"/>
    <x v="61"/>
    <n v="0.88630145134427785"/>
    <n v="1.0799948081620036E-3"/>
    <s v="Low Risk"/>
  </r>
  <r>
    <x v="67"/>
    <x v="67"/>
    <n v="202"/>
    <n v="1374"/>
    <n v="2651"/>
    <n v="10417673"/>
    <x v="1"/>
    <x v="21"/>
    <x v="62"/>
    <n v="0.32505322924059615"/>
    <n v="4.0575280103339776E-4"/>
    <s v="Modrate Risk"/>
  </r>
  <r>
    <x v="68"/>
    <x v="68"/>
    <n v="0"/>
    <n v="13"/>
    <n v="1"/>
    <n v="56780"/>
    <x v="3"/>
    <x v="12"/>
    <x v="19"/>
    <n v="0.9285714285714286"/>
    <n v="2.4656569214512151E-4"/>
    <s v="Low Risk"/>
  </r>
  <r>
    <x v="69"/>
    <x v="69"/>
    <n v="0"/>
    <n v="23"/>
    <n v="0"/>
    <n v="112576"/>
    <x v="3"/>
    <x v="32"/>
    <x v="19"/>
    <n v="1"/>
    <n v="2.0430642410460489E-4"/>
    <s v="Low Risk"/>
  </r>
  <r>
    <x v="70"/>
    <x v="70"/>
    <n v="1761"/>
    <n v="32455"/>
    <n v="11093"/>
    <n v="17946899"/>
    <x v="3"/>
    <x v="5"/>
    <x v="63"/>
    <n v="0.71630360414045779"/>
    <n v="2.5246144194604318E-3"/>
    <s v="Modrate Risk"/>
  </r>
  <r>
    <x v="71"/>
    <x v="71"/>
    <n v="45"/>
    <n v="6257"/>
    <n v="753"/>
    <n v="13164905"/>
    <x v="2"/>
    <x v="5"/>
    <x v="64"/>
    <n v="0.88688873139617297"/>
    <n v="5.3589448613567661E-4"/>
    <s v="Low Risk"/>
  </r>
  <r>
    <x v="72"/>
    <x v="72"/>
    <n v="26"/>
    <n v="803"/>
    <n v="1125"/>
    <n v="1972277"/>
    <x v="2"/>
    <x v="37"/>
    <x v="65"/>
    <n v="0.41095189355168882"/>
    <n v="9.907330461187754E-4"/>
    <s v="Low Risk"/>
  </r>
  <r>
    <x v="73"/>
    <x v="73"/>
    <n v="20"/>
    <n v="181"/>
    <n v="188"/>
    <n v="786936"/>
    <x v="4"/>
    <x v="36"/>
    <x v="66"/>
    <n v="0.4652956298200514"/>
    <n v="4.943222828794209E-4"/>
    <s v="High Risk"/>
  </r>
  <r>
    <x v="74"/>
    <x v="74"/>
    <n v="158"/>
    <n v="4365"/>
    <n v="2817"/>
    <n v="11416103"/>
    <x v="3"/>
    <x v="26"/>
    <x v="67"/>
    <n v="0.59468664850136244"/>
    <n v="6.4295145199723587E-4"/>
    <s v="Modrate Risk"/>
  </r>
  <r>
    <x v="75"/>
    <x v="75"/>
    <n v="0"/>
    <n v="12"/>
    <n v="0"/>
    <n v="528"/>
    <x v="1"/>
    <x v="32"/>
    <x v="19"/>
    <n v="1"/>
    <n v="2.2727272727272728E-2"/>
    <s v="Low Risk"/>
  </r>
  <r>
    <x v="76"/>
    <x v="76"/>
    <n v="1166"/>
    <n v="5039"/>
    <n v="33536"/>
    <n v="10012084"/>
    <x v="3"/>
    <x v="13"/>
    <x v="68"/>
    <n v="0.12679600412672051"/>
    <n v="3.9693034936582631E-3"/>
    <s v="Modrate Risk"/>
  </r>
  <r>
    <x v="77"/>
    <x v="77"/>
    <n v="596"/>
    <n v="3329"/>
    <n v="523"/>
    <n v="9657785"/>
    <x v="1"/>
    <x v="38"/>
    <x v="69"/>
    <n v="0.74842625899280579"/>
    <n v="4.6056109138896753E-4"/>
    <s v="High Risk"/>
  </r>
  <r>
    <x v="78"/>
    <x v="78"/>
    <n v="10"/>
    <n v="1823"/>
    <n v="21"/>
    <n v="341465"/>
    <x v="1"/>
    <x v="9"/>
    <x v="70"/>
    <n v="0.98327939590075508"/>
    <n v="5.4295462199639788E-3"/>
    <s v="Low Risk"/>
  </r>
  <r>
    <x v="79"/>
    <x v="79"/>
    <n v="33408"/>
    <n v="951166"/>
    <n v="495499"/>
    <n v="1381344997"/>
    <x v="0"/>
    <x v="39"/>
    <x v="71"/>
    <n v="0.64264803154979522"/>
    <n v="1.0714723716482247E-3"/>
    <s v="Modrate Risk"/>
  </r>
  <r>
    <x v="80"/>
    <x v="80"/>
    <n v="4838"/>
    <n v="58173"/>
    <n v="37292"/>
    <n v="273808365"/>
    <x v="0"/>
    <x v="3"/>
    <x v="72"/>
    <n v="0.57997268277120329"/>
    <n v="3.6632555035343787E-4"/>
    <s v="Modrate Risk"/>
  </r>
  <r>
    <x v="81"/>
    <x v="81"/>
    <n v="15912"/>
    <n v="255144"/>
    <n v="22550"/>
    <n v="84097623"/>
    <x v="0"/>
    <x v="40"/>
    <x v="73"/>
    <n v="0.86900131468702957"/>
    <n v="3.4912520654715772E-3"/>
    <s v="High Risk"/>
  </r>
  <r>
    <x v="82"/>
    <x v="82"/>
    <n v="4458"/>
    <n v="77144"/>
    <n v="30983"/>
    <n v="40306025"/>
    <x v="0"/>
    <x v="41"/>
    <x v="74"/>
    <n v="0.68520673269085575"/>
    <n v="2.7932548545781927E-3"/>
    <s v="Modrate Risk"/>
  </r>
  <r>
    <x v="83"/>
    <x v="83"/>
    <n v="1764"/>
    <n v="23364"/>
    <n v="764"/>
    <n v="4943200"/>
    <x v="1"/>
    <x v="33"/>
    <x v="75"/>
    <n v="0.90236366445234051"/>
    <n v="5.2379025732319142E-3"/>
    <s v="High Risk"/>
  </r>
  <r>
    <x v="84"/>
    <x v="84"/>
    <n v="474"/>
    <n v="27133"/>
    <n v="36378"/>
    <n v="9197590"/>
    <x v="0"/>
    <x v="11"/>
    <x v="76"/>
    <n v="0.42405251230757207"/>
    <n v="6.9567136608611607E-3"/>
    <s v="Low Risk"/>
  </r>
  <r>
    <x v="85"/>
    <x v="85"/>
    <n v="35112"/>
    <n v="198593"/>
    <n v="12581"/>
    <n v="60452568"/>
    <x v="1"/>
    <x v="42"/>
    <x v="77"/>
    <n v="0.80635115272488078"/>
    <n v="4.0740370202304726E-3"/>
    <s v="High Risk"/>
  </r>
  <r>
    <x v="86"/>
    <x v="86"/>
    <n v="10"/>
    <n v="714"/>
    <n v="129"/>
    <n v="2962478"/>
    <x v="3"/>
    <x v="18"/>
    <x v="78"/>
    <n v="0.83704572098475971"/>
    <n v="2.8793462770018881E-4"/>
    <s v="Low Risk"/>
  </r>
  <r>
    <x v="87"/>
    <x v="87"/>
    <n v="998"/>
    <n v="21970"/>
    <n v="8174"/>
    <n v="126435859"/>
    <x v="0"/>
    <x v="43"/>
    <x v="79"/>
    <n v="0.70547813242566304"/>
    <n v="2.4630670639094564E-4"/>
    <s v="Modrate Risk"/>
  </r>
  <r>
    <x v="88"/>
    <x v="88"/>
    <n v="11"/>
    <n v="1041"/>
    <n v="124"/>
    <n v="10213138"/>
    <x v="0"/>
    <x v="3"/>
    <x v="80"/>
    <n v="0.88520408163265307"/>
    <n v="1.1514580533426651E-4"/>
    <s v="Low Risk"/>
  </r>
  <r>
    <x v="89"/>
    <x v="89"/>
    <n v="585"/>
    <n v="54404"/>
    <n v="29659"/>
    <n v="18798667"/>
    <x v="0"/>
    <x v="5"/>
    <x v="81"/>
    <n v="0.64270862867403833"/>
    <n v="4.5028724643082409E-3"/>
    <s v="Low Risk"/>
  </r>
  <r>
    <x v="90"/>
    <x v="90"/>
    <n v="285"/>
    <n v="7833"/>
    <n v="9857"/>
    <n v="53881160"/>
    <x v="2"/>
    <x v="5"/>
    <x v="82"/>
    <n v="0.4357719054242003"/>
    <n v="3.3360454748932648E-4"/>
    <s v="Low Risk"/>
  </r>
  <r>
    <x v="91"/>
    <x v="91"/>
    <n v="185"/>
    <n v="4027"/>
    <n v="3201"/>
    <n v="1790152"/>
    <x v="1"/>
    <x v="5"/>
    <x v="83"/>
    <n v="0.54323485768244972"/>
    <n v="4.1409891450558392E-3"/>
    <s v="Modrate Risk"/>
  </r>
  <r>
    <x v="92"/>
    <x v="92"/>
    <n v="438"/>
    <n v="55057"/>
    <n v="8884"/>
    <n v="4276658"/>
    <x v="0"/>
    <x v="0"/>
    <x v="84"/>
    <n v="0.85520123021482164"/>
    <n v="1.5053576881761413E-2"/>
    <s v="Low Risk"/>
  </r>
  <r>
    <x v="93"/>
    <x v="93"/>
    <n v="1301"/>
    <n v="21205"/>
    <n v="10790"/>
    <n v="6534479"/>
    <x v="0"/>
    <x v="31"/>
    <x v="85"/>
    <n v="0.63686328688130711"/>
    <n v="5.0954330100379842E-3"/>
    <s v="Modrate Risk"/>
  </r>
  <r>
    <x v="94"/>
    <x v="94"/>
    <n v="0"/>
    <n v="19"/>
    <n v="1"/>
    <n v="7285750"/>
    <x v="0"/>
    <x v="44"/>
    <x v="19"/>
    <n v="0.95"/>
    <n v="2.7450845829187114E-6"/>
    <s v="Low Risk"/>
  </r>
  <r>
    <x v="95"/>
    <x v="95"/>
    <n v="31"/>
    <n v="1045"/>
    <n v="143"/>
    <n v="1883936"/>
    <x v="1"/>
    <x v="3"/>
    <x v="86"/>
    <n v="0.85726004922067267"/>
    <n v="6.4704958130212494E-4"/>
    <s v="Modrate Risk"/>
  </r>
  <r>
    <x v="96"/>
    <x v="96"/>
    <n v="51"/>
    <n v="1709"/>
    <n v="2122"/>
    <n v="6822220"/>
    <x v="0"/>
    <x v="11"/>
    <x v="87"/>
    <n v="0.44023699124162802"/>
    <n v="5.6902298665243865E-4"/>
    <s v="Low Risk"/>
  </r>
  <r>
    <x v="97"/>
    <x v="97"/>
    <n v="12"/>
    <n v="128"/>
    <n v="365"/>
    <n v="2143943"/>
    <x v="2"/>
    <x v="45"/>
    <x v="88"/>
    <n v="0.25346534653465347"/>
    <n v="2.3554730699463559E-4"/>
    <s v="Modrate Risk"/>
  </r>
  <r>
    <x v="98"/>
    <x v="98"/>
    <n v="72"/>
    <n v="646"/>
    <n v="449"/>
    <n v="5068618"/>
    <x v="2"/>
    <x v="16"/>
    <x v="89"/>
    <n v="0.55355612682090827"/>
    <n v="2.3024027456793942E-4"/>
    <s v="High Risk"/>
  </r>
  <r>
    <x v="99"/>
    <x v="99"/>
    <n v="64"/>
    <n v="577"/>
    <n v="2186"/>
    <n v="6880353"/>
    <x v="2"/>
    <x v="44"/>
    <x v="90"/>
    <n v="0.20410328970640254"/>
    <n v="4.1088008129815432E-4"/>
    <s v="Modrate Risk"/>
  </r>
  <r>
    <x v="100"/>
    <x v="5"/>
    <n v="1"/>
    <n v="81"/>
    <n v="4"/>
    <n v="38139"/>
    <x v="1"/>
    <x v="6"/>
    <x v="91"/>
    <n v="0.94186046511627908"/>
    <n v="2.2549096725136999E-3"/>
    <s v="Low Risk"/>
  </r>
  <r>
    <x v="101"/>
    <x v="100"/>
    <n v="80"/>
    <n v="1620"/>
    <n v="319"/>
    <n v="2718121"/>
    <x v="1"/>
    <x v="9"/>
    <x v="92"/>
    <n v="0.80237741456166423"/>
    <n v="7.4279253940497862E-4"/>
    <s v="Modrate Risk"/>
  </r>
  <r>
    <x v="102"/>
    <x v="101"/>
    <n v="112"/>
    <n v="4825"/>
    <n v="1384"/>
    <n v="626952"/>
    <x v="1"/>
    <x v="33"/>
    <x v="93"/>
    <n v="0.763328587248853"/>
    <n v="1.0082111549209509E-2"/>
    <s v="Low Risk"/>
  </r>
  <r>
    <x v="103"/>
    <x v="102"/>
    <n v="91"/>
    <n v="6260"/>
    <n v="3339"/>
    <n v="27755708"/>
    <x v="2"/>
    <x v="23"/>
    <x v="94"/>
    <n v="0.6460268317853457"/>
    <n v="3.491173779461868E-4"/>
    <s v="Low Risk"/>
  </r>
  <r>
    <x v="104"/>
    <x v="103"/>
    <n v="99"/>
    <n v="1645"/>
    <n v="1920"/>
    <n v="19174839"/>
    <x v="2"/>
    <x v="46"/>
    <x v="95"/>
    <n v="0.44896288209606988"/>
    <n v="1.910837426066524E-4"/>
    <s v="Modrate Risk"/>
  </r>
  <r>
    <x v="105"/>
    <x v="104"/>
    <n v="124"/>
    <n v="8601"/>
    <n v="179"/>
    <n v="32406372"/>
    <x v="0"/>
    <x v="8"/>
    <x v="96"/>
    <n v="0.96597035040431267"/>
    <n v="2.7476077852837093E-4"/>
    <s v="Low Risk"/>
  </r>
  <r>
    <x v="106"/>
    <x v="105"/>
    <n v="15"/>
    <n v="2547"/>
    <n v="807"/>
    <n v="541448"/>
    <x v="0"/>
    <x v="47"/>
    <x v="97"/>
    <n v="0.75601068566340157"/>
    <n v="6.2222041636500643E-3"/>
    <s v="Low Risk"/>
  </r>
  <r>
    <x v="107"/>
    <x v="106"/>
    <n v="124"/>
    <n v="1913"/>
    <n v="476"/>
    <n v="20302901"/>
    <x v="2"/>
    <x v="37"/>
    <x v="98"/>
    <n v="0.76124154397134902"/>
    <n v="1.2377541514880066E-4"/>
    <s v="Modrate Risk"/>
  </r>
  <r>
    <x v="108"/>
    <x v="107"/>
    <n v="9"/>
    <n v="665"/>
    <n v="27"/>
    <n v="441663"/>
    <x v="1"/>
    <x v="47"/>
    <x v="99"/>
    <n v="0.94864479315263905"/>
    <n v="1.5871829879342395E-3"/>
    <s v="Low Risk"/>
  </r>
  <r>
    <x v="109"/>
    <x v="108"/>
    <n v="156"/>
    <n v="4653"/>
    <n v="1399"/>
    <n v="4660728"/>
    <x v="2"/>
    <x v="5"/>
    <x v="100"/>
    <n v="0.74951675257731953"/>
    <n v="1.3319807549378553E-3"/>
    <s v="Modrate Risk"/>
  </r>
  <r>
    <x v="110"/>
    <x v="109"/>
    <n v="10"/>
    <n v="332"/>
    <n v="2"/>
    <n v="1271985"/>
    <x v="2"/>
    <x v="31"/>
    <x v="101"/>
    <n v="0.96511627906976749"/>
    <n v="2.7044344076384549E-4"/>
    <s v="Modrate Risk"/>
  </r>
  <r>
    <x v="111"/>
    <x v="110"/>
    <n v="44022"/>
    <n v="303810"/>
    <n v="47657"/>
    <n v="129066160"/>
    <x v="3"/>
    <x v="9"/>
    <x v="102"/>
    <n v="0.7681882429094109"/>
    <n v="3.0642346529872739E-3"/>
    <s v="High Risk"/>
  </r>
  <r>
    <x v="112"/>
    <x v="111"/>
    <n v="748"/>
    <n v="16154"/>
    <n v="6252"/>
    <n v="4032983"/>
    <x v="1"/>
    <x v="47"/>
    <x v="103"/>
    <n v="0.69767642739915348"/>
    <n v="5.7411598313208854E-3"/>
    <s v="Modrate Risk"/>
  </r>
  <r>
    <x v="113"/>
    <x v="112"/>
    <n v="4"/>
    <n v="104"/>
    <n v="8"/>
    <n v="39270"/>
    <x v="1"/>
    <x v="33"/>
    <x v="104"/>
    <n v="0.89655172413793105"/>
    <n v="2.9539088362617776E-3"/>
    <s v="Modrate Risk"/>
  </r>
  <r>
    <x v="114"/>
    <x v="113"/>
    <n v="0"/>
    <n v="222"/>
    <n v="67"/>
    <n v="3283344"/>
    <x v="0"/>
    <x v="18"/>
    <x v="19"/>
    <n v="0.76816608996539792"/>
    <n v="8.8020018615167948E-5"/>
    <s v="Low Risk"/>
  </r>
  <r>
    <x v="115"/>
    <x v="114"/>
    <n v="45"/>
    <n v="809"/>
    <n v="2039"/>
    <n v="628074"/>
    <x v="1"/>
    <x v="13"/>
    <x v="105"/>
    <n v="0.27964051157967507"/>
    <n v="4.6061451357642573E-3"/>
    <s v="Low Risk"/>
  </r>
  <r>
    <x v="116"/>
    <x v="115"/>
    <n v="316"/>
    <n v="16553"/>
    <n v="4018"/>
    <n v="36953359"/>
    <x v="2"/>
    <x v="3"/>
    <x v="106"/>
    <n v="0.79250251352515921"/>
    <n v="5.6522601910153822E-4"/>
    <s v="Low Risk"/>
  </r>
  <r>
    <x v="117"/>
    <x v="116"/>
    <n v="11"/>
    <n v="0"/>
    <n v="1690"/>
    <n v="31333962"/>
    <x v="2"/>
    <x v="32"/>
    <x v="107"/>
    <n v="0"/>
    <n v="5.4286144854583022E-5"/>
    <s v="Low Risk"/>
  </r>
  <r>
    <x v="118"/>
    <x v="117"/>
    <n v="8"/>
    <n v="101"/>
    <n v="1734"/>
    <n v="2545264"/>
    <x v="2"/>
    <x v="25"/>
    <x v="108"/>
    <n v="5.4801953336950621E-2"/>
    <n v="7.2408991758811663E-4"/>
    <s v="Low Risk"/>
  </r>
  <r>
    <x v="119"/>
    <x v="118"/>
    <n v="48"/>
    <n v="13754"/>
    <n v="4950"/>
    <n v="29186486"/>
    <x v="0"/>
    <x v="48"/>
    <x v="109"/>
    <n v="0.73346843003412965"/>
    <n v="6.4248913007204774E-4"/>
    <s v="Low Risk"/>
  </r>
  <r>
    <x v="120"/>
    <x v="119"/>
    <n v="6160"/>
    <n v="189"/>
    <n v="47064"/>
    <n v="17138756"/>
    <x v="1"/>
    <x v="30"/>
    <x v="110"/>
    <n v="3.5384644187744555E-3"/>
    <n v="3.1165039049508613E-3"/>
    <s v="High Risk"/>
  </r>
  <r>
    <x v="121"/>
    <x v="120"/>
    <n v="22"/>
    <n v="1514"/>
    <n v="21"/>
    <n v="5002100"/>
    <x v="5"/>
    <x v="9"/>
    <x v="111"/>
    <n v="0.97238278741168915"/>
    <n v="3.112692669078987E-4"/>
    <s v="Low Risk"/>
  </r>
  <r>
    <x v="122"/>
    <x v="121"/>
    <n v="108"/>
    <n v="2492"/>
    <n v="839"/>
    <n v="6632263"/>
    <x v="3"/>
    <x v="31"/>
    <x v="112"/>
    <n v="0.72462925268973544"/>
    <n v="5.1852587872344626E-4"/>
    <s v="Modrate Risk"/>
  </r>
  <r>
    <x v="123"/>
    <x v="122"/>
    <n v="69"/>
    <n v="1027"/>
    <n v="36"/>
    <n v="24281433"/>
    <x v="2"/>
    <x v="26"/>
    <x v="113"/>
    <n v="0.90724381625441697"/>
    <n v="4.6619983260460779E-5"/>
    <s v="High Risk"/>
  </r>
  <r>
    <x v="124"/>
    <x v="123"/>
    <n v="860"/>
    <n v="18203"/>
    <n v="22117"/>
    <n v="206606300"/>
    <x v="2"/>
    <x v="30"/>
    <x v="114"/>
    <n v="0.44203496843127732"/>
    <n v="1.9931628415977636E-4"/>
    <s v="Modrate Risk"/>
  </r>
  <r>
    <x v="125"/>
    <x v="124"/>
    <n v="466"/>
    <n v="5564"/>
    <n v="4183"/>
    <n v="2083365"/>
    <x v="1"/>
    <x v="21"/>
    <x v="115"/>
    <n v="0.54479584842847351"/>
    <n v="4.9021654870845966E-3"/>
    <s v="Modrate Risk"/>
  </r>
  <r>
    <x v="126"/>
    <x v="125"/>
    <n v="255"/>
    <n v="8752"/>
    <n v="125"/>
    <n v="5425471"/>
    <x v="1"/>
    <x v="21"/>
    <x v="116"/>
    <n v="0.95838808585194923"/>
    <n v="1.6831718389057834E-3"/>
    <s v="Modrate Risk"/>
  </r>
  <r>
    <x v="127"/>
    <x v="126"/>
    <n v="393"/>
    <n v="57028"/>
    <n v="19637"/>
    <n v="5118446"/>
    <x v="0"/>
    <x v="0"/>
    <x v="117"/>
    <n v="0.74006592436865737"/>
    <n v="1.5054960040606075E-2"/>
    <s v="Low Risk"/>
  </r>
  <r>
    <x v="128"/>
    <x v="127"/>
    <n v="5842"/>
    <n v="241026"/>
    <n v="27421"/>
    <n v="221295851"/>
    <x v="0"/>
    <x v="21"/>
    <x v="118"/>
    <n v="0.8787300985456945"/>
    <n v="1.2394674313166406E-3"/>
    <s v="Modrate Risk"/>
  </r>
  <r>
    <x v="129"/>
    <x v="128"/>
    <n v="1322"/>
    <n v="35086"/>
    <n v="25034"/>
    <n v="5112340"/>
    <x v="0"/>
    <x v="1"/>
    <x v="119"/>
    <n v="0.57104260929006212"/>
    <n v="1.2018371235089998E-2"/>
    <s v="Modrate Risk"/>
  </r>
  <r>
    <x v="130"/>
    <x v="129"/>
    <n v="0"/>
    <n v="11"/>
    <n v="51"/>
    <n v="8963009"/>
    <x v="5"/>
    <x v="23"/>
    <x v="19"/>
    <n v="0.17741935483870969"/>
    <n v="6.9173198420307291E-6"/>
    <s v="Low Risk"/>
  </r>
  <r>
    <x v="131"/>
    <x v="130"/>
    <n v="43"/>
    <n v="2905"/>
    <n v="1600"/>
    <n v="7141091"/>
    <x v="4"/>
    <x v="47"/>
    <x v="120"/>
    <n v="0.63874230430958667"/>
    <n v="6.368774743243014E-4"/>
    <s v="Low Risk"/>
  </r>
  <r>
    <x v="132"/>
    <x v="131"/>
    <n v="18418"/>
    <n v="272547"/>
    <n v="98752"/>
    <n v="33016319"/>
    <x v="4"/>
    <x v="17"/>
    <x v="121"/>
    <n v="0.69934593564047753"/>
    <n v="1.180376891803111E-2"/>
    <s v="Modrate Risk"/>
  </r>
  <r>
    <x v="133"/>
    <x v="132"/>
    <n v="1945"/>
    <n v="26446"/>
    <n v="53649"/>
    <n v="109722719"/>
    <x v="0"/>
    <x v="39"/>
    <x v="122"/>
    <n v="0.32235494880546073"/>
    <n v="7.4770294381786148E-4"/>
    <s v="Modrate Risk"/>
  </r>
  <r>
    <x v="134"/>
    <x v="133"/>
    <n v="1676"/>
    <n v="32856"/>
    <n v="8870"/>
    <n v="37842302"/>
    <x v="1"/>
    <x v="38"/>
    <x v="123"/>
    <n v="0.75701580572323857"/>
    <n v="1.1469175421727779E-3"/>
    <s v="Modrate Risk"/>
  </r>
  <r>
    <x v="135"/>
    <x v="134"/>
    <n v="1719"/>
    <n v="35375"/>
    <n v="13205"/>
    <n v="10193593"/>
    <x v="1"/>
    <x v="3"/>
    <x v="124"/>
    <n v="0.70329430008548877"/>
    <n v="4.9343739739265632E-3"/>
    <s v="Modrate Risk"/>
  </r>
  <r>
    <x v="136"/>
    <x v="135"/>
    <n v="165"/>
    <n v="106328"/>
    <n v="3104"/>
    <n v="2807805"/>
    <x v="0"/>
    <x v="30"/>
    <x v="125"/>
    <n v="0.97017254121919394"/>
    <n v="3.9032981278970584E-2"/>
    <s v="Low Risk"/>
  </r>
  <r>
    <x v="137"/>
    <x v="136"/>
    <n v="2206"/>
    <n v="25794"/>
    <n v="17902"/>
    <n v="19224023"/>
    <x v="1"/>
    <x v="21"/>
    <x v="126"/>
    <n v="0.56193629907193587"/>
    <n v="2.3877416293145303E-3"/>
    <s v="Modrate Risk"/>
  </r>
  <r>
    <x v="138"/>
    <x v="137"/>
    <n v="13334"/>
    <n v="602249"/>
    <n v="201097"/>
    <n v="145940924"/>
    <x v="1"/>
    <x v="42"/>
    <x v="127"/>
    <n v="0.73743571533525987"/>
    <n v="5.5959629253820543E-3"/>
    <s v="Low Risk"/>
  </r>
  <r>
    <x v="139"/>
    <x v="138"/>
    <n v="5"/>
    <n v="975"/>
    <n v="899"/>
    <n v="12981546"/>
    <x v="2"/>
    <x v="25"/>
    <x v="128"/>
    <n v="0.51889302820649286"/>
    <n v="1.4474393111575461E-4"/>
    <s v="Low Risk"/>
  </r>
  <r>
    <x v="140"/>
    <x v="139"/>
    <n v="0"/>
    <n v="15"/>
    <n v="2"/>
    <n v="53237"/>
    <x v="3"/>
    <x v="44"/>
    <x v="19"/>
    <n v="0.88235294117647056"/>
    <n v="3.1932678400360654E-4"/>
    <s v="Low Risk"/>
  </r>
  <r>
    <x v="141"/>
    <x v="140"/>
    <n v="0"/>
    <n v="22"/>
    <n v="2"/>
    <n v="183712"/>
    <x v="3"/>
    <x v="5"/>
    <x v="19"/>
    <n v="0.91666666666666663"/>
    <n v="1.306392614527086E-4"/>
    <s v="Low Risk"/>
  </r>
  <r>
    <x v="142"/>
    <x v="141"/>
    <n v="0"/>
    <n v="39"/>
    <n v="13"/>
    <n v="104000"/>
    <x v="3"/>
    <x v="29"/>
    <x v="19"/>
    <n v="0.75"/>
    <n v="5.0000000000000001E-4"/>
    <s v="Low Risk"/>
  </r>
  <r>
    <x v="143"/>
    <x v="142"/>
    <n v="42"/>
    <n v="657"/>
    <n v="0"/>
    <n v="33938"/>
    <x v="1"/>
    <x v="30"/>
    <x v="129"/>
    <n v="0.93991416309012876"/>
    <n v="2.0596381637102954E-2"/>
    <s v="High Risk"/>
  </r>
  <r>
    <x v="144"/>
    <x v="143"/>
    <n v="14"/>
    <n v="734"/>
    <n v="117"/>
    <n v="219544"/>
    <x v="2"/>
    <x v="49"/>
    <x v="130"/>
    <n v="0.84855491329479771"/>
    <n v="3.9399846955507781E-3"/>
    <s v="Low Risk"/>
  </r>
  <r>
    <x v="145"/>
    <x v="144"/>
    <n v="2760"/>
    <n v="222936"/>
    <n v="43238"/>
    <n v="34865919"/>
    <x v="0"/>
    <x v="3"/>
    <x v="131"/>
    <n v="0.8289617526976879"/>
    <n v="7.7133776396371484E-3"/>
    <s v="Low Risk"/>
  </r>
  <r>
    <x v="146"/>
    <x v="145"/>
    <n v="194"/>
    <n v="6477"/>
    <n v="3093"/>
    <n v="16783877"/>
    <x v="2"/>
    <x v="3"/>
    <x v="132"/>
    <n v="0.66335518230233514"/>
    <n v="5.8174878188156404E-4"/>
    <s v="Low Risk"/>
  </r>
  <r>
    <x v="147"/>
    <x v="146"/>
    <n v="543"/>
    <n v="0"/>
    <n v="23598"/>
    <n v="8733665"/>
    <x v="1"/>
    <x v="17"/>
    <x v="133"/>
    <n v="0"/>
    <n v="2.7641316675187334E-3"/>
    <s v="Modrate Risk"/>
  </r>
  <r>
    <x v="148"/>
    <x v="147"/>
    <n v="0"/>
    <n v="39"/>
    <n v="75"/>
    <n v="98408"/>
    <x v="2"/>
    <x v="25"/>
    <x v="19"/>
    <n v="0.34210526315789475"/>
    <n v="1.158442403056662E-3"/>
    <s v="Low Risk"/>
  </r>
  <r>
    <x v="149"/>
    <x v="148"/>
    <n v="66"/>
    <n v="1317"/>
    <n v="400"/>
    <n v="7992169"/>
    <x v="2"/>
    <x v="22"/>
    <x v="134"/>
    <n v="0.73864273696017946"/>
    <n v="2.230933805328691E-4"/>
    <s v="Modrate Risk"/>
  </r>
  <r>
    <x v="150"/>
    <x v="149"/>
    <n v="27"/>
    <n v="45692"/>
    <n v="5119"/>
    <n v="5854932"/>
    <x v="0"/>
    <x v="50"/>
    <x v="135"/>
    <n v="0.89877650576340529"/>
    <n v="8.6829360272672688E-3"/>
    <s v="Low Risk"/>
  </r>
  <r>
    <x v="151"/>
    <x v="150"/>
    <n v="28"/>
    <n v="1616"/>
    <n v="537"/>
    <n v="5459915"/>
    <x v="1"/>
    <x v="17"/>
    <x v="136"/>
    <n v="0.74094452086198992"/>
    <n v="3.994567680998697E-4"/>
    <s v="Low Risk"/>
  </r>
  <r>
    <x v="152"/>
    <x v="151"/>
    <n v="116"/>
    <n v="1733"/>
    <n v="238"/>
    <n v="2078968"/>
    <x v="1"/>
    <x v="38"/>
    <x v="137"/>
    <n v="0.83037853378054627"/>
    <n v="1.0038634553297598E-3"/>
    <s v="High Risk"/>
  </r>
  <r>
    <x v="153"/>
    <x v="152"/>
    <n v="93"/>
    <n v="1543"/>
    <n v="1560"/>
    <n v="15933012"/>
    <x v="2"/>
    <x v="16"/>
    <x v="138"/>
    <n v="0.48279098873591991"/>
    <n v="2.0058981942648382E-4"/>
    <s v="Modrate Risk"/>
  </r>
  <r>
    <x v="154"/>
    <x v="153"/>
    <n v="7067"/>
    <n v="274925"/>
    <n v="170537"/>
    <n v="59381566"/>
    <x v="2"/>
    <x v="19"/>
    <x v="139"/>
    <n v="0.60753012514115112"/>
    <n v="7.6206983157028904E-3"/>
    <s v="Low Risk"/>
  </r>
  <r>
    <x v="155"/>
    <x v="154"/>
    <n v="300"/>
    <n v="13007"/>
    <n v="896"/>
    <n v="51273732"/>
    <x v="0"/>
    <x v="51"/>
    <x v="140"/>
    <n v="0.91579243821727807"/>
    <n v="2.7700343715959667E-4"/>
    <s v="Modrate Risk"/>
  </r>
  <r>
    <x v="156"/>
    <x v="155"/>
    <n v="46"/>
    <n v="1175"/>
    <n v="1084"/>
    <n v="11206572"/>
    <x v="2"/>
    <x v="52"/>
    <x v="141"/>
    <n v="0.50976138828633411"/>
    <n v="2.0568287965311784E-4"/>
    <s v="Low Risk"/>
  </r>
  <r>
    <x v="157"/>
    <x v="156"/>
    <n v="28432"/>
    <n v="150376"/>
    <n v="93613"/>
    <n v="46756648"/>
    <x v="1"/>
    <x v="42"/>
    <x v="142"/>
    <n v="0.55199856105072664"/>
    <n v="5.8263586388827534E-3"/>
    <s v="High Risk"/>
  </r>
  <r>
    <x v="158"/>
    <x v="157"/>
    <n v="11"/>
    <n v="2121"/>
    <n v="673"/>
    <n v="21422362"/>
    <x v="0"/>
    <x v="24"/>
    <x v="143"/>
    <n v="0.75614973262032081"/>
    <n v="1.3093794232400704E-4"/>
    <s v="Low Risk"/>
  </r>
  <r>
    <x v="159"/>
    <x v="158"/>
    <n v="720"/>
    <n v="5939"/>
    <n v="4765"/>
    <n v="43943536"/>
    <x v="2"/>
    <x v="5"/>
    <x v="144"/>
    <n v="0.51987044817927175"/>
    <n v="2.5996997601649536E-4"/>
    <s v="High Risk"/>
  </r>
  <r>
    <x v="160"/>
    <x v="159"/>
    <n v="24"/>
    <n v="925"/>
    <n v="534"/>
    <n v="587154"/>
    <x v="4"/>
    <x v="5"/>
    <x v="145"/>
    <n v="0.62373567093728932"/>
    <n v="2.5257428204525558E-3"/>
    <s v="Low Risk"/>
  </r>
  <r>
    <x v="161"/>
    <x v="160"/>
    <n v="5700"/>
    <n v="0"/>
    <n v="73695"/>
    <n v="10105596"/>
    <x v="1"/>
    <x v="42"/>
    <x v="146"/>
    <n v="0"/>
    <n v="7.8565381002763217E-3"/>
    <s v="High Risk"/>
  </r>
  <r>
    <x v="162"/>
    <x v="161"/>
    <n v="1978"/>
    <n v="30900"/>
    <n v="1599"/>
    <n v="8660952"/>
    <x v="1"/>
    <x v="2"/>
    <x v="147"/>
    <n v="0.89624967369550712"/>
    <n v="3.9807402234765879E-3"/>
    <s v="High Risk"/>
  </r>
  <r>
    <x v="163"/>
    <x v="162"/>
    <n v="40"/>
    <n v="0"/>
    <n v="634"/>
    <n v="17539600"/>
    <x v="0"/>
    <x v="32"/>
    <x v="148"/>
    <n v="0"/>
    <n v="3.8427330155761816E-5"/>
    <s v="High Risk"/>
  </r>
  <r>
    <x v="164"/>
    <x v="163"/>
    <n v="7"/>
    <n v="440"/>
    <n v="15"/>
    <n v="23821199"/>
    <x v="0"/>
    <x v="53"/>
    <x v="149"/>
    <n v="0.95238095238095233"/>
    <n v="1.9394489756791838E-5"/>
    <s v="Low Risk"/>
  </r>
  <r>
    <x v="165"/>
    <x v="164"/>
    <n v="60"/>
    <n v="6028"/>
    <n v="1147"/>
    <n v="9557468"/>
    <x v="0"/>
    <x v="28"/>
    <x v="150"/>
    <n v="0.83317208016586042"/>
    <n v="7.569996572313922E-4"/>
    <s v="Low Risk"/>
  </r>
  <r>
    <x v="166"/>
    <x v="165"/>
    <n v="21"/>
    <n v="183"/>
    <n v="305"/>
    <n v="59886383"/>
    <x v="2"/>
    <x v="16"/>
    <x v="151"/>
    <n v="0.35952848722986247"/>
    <n v="8.4994279918358071E-6"/>
    <s v="Modrate Risk"/>
  </r>
  <r>
    <x v="167"/>
    <x v="166"/>
    <n v="58"/>
    <n v="3111"/>
    <n v="128"/>
    <n v="69817894"/>
    <x v="0"/>
    <x v="48"/>
    <x v="152"/>
    <n v="0.94358507734303909"/>
    <n v="4.7222850921283877E-5"/>
    <s v="Low Risk"/>
  </r>
  <r>
    <x v="168"/>
    <x v="140"/>
    <n v="0"/>
    <n v="0"/>
    <n v="24"/>
    <n v="1320812"/>
    <x v="0"/>
    <x v="4"/>
    <x v="19"/>
    <n v="0"/>
    <n v="1.8170640484792688E-5"/>
    <s v="Low Risk"/>
  </r>
  <r>
    <x v="169"/>
    <x v="167"/>
    <n v="18"/>
    <n v="607"/>
    <n v="249"/>
    <n v="8296582"/>
    <x v="2"/>
    <x v="17"/>
    <x v="153"/>
    <n v="0.69450800915331812"/>
    <n v="1.0534458648151732E-4"/>
    <s v="Modrate Risk"/>
  </r>
  <r>
    <x v="170"/>
    <x v="168"/>
    <n v="8"/>
    <n v="128"/>
    <n v="12"/>
    <n v="1399950"/>
    <x v="3"/>
    <x v="36"/>
    <x v="154"/>
    <n v="0.86486486486486491"/>
    <n v="1.0571806135933426E-4"/>
    <s v="High Risk"/>
  </r>
  <r>
    <x v="171"/>
    <x v="169"/>
    <n v="50"/>
    <n v="1157"/>
    <n v="248"/>
    <n v="11830801"/>
    <x v="2"/>
    <x v="3"/>
    <x v="155"/>
    <n v="0.79518900343642607"/>
    <n v="1.2298406506879795E-4"/>
    <s v="Modrate Risk"/>
  </r>
  <r>
    <x v="172"/>
    <x v="170"/>
    <n v="5630"/>
    <n v="210469"/>
    <n v="10920"/>
    <n v="84428331"/>
    <x v="0"/>
    <x v="29"/>
    <x v="156"/>
    <n v="0.92709861289143203"/>
    <n v="2.6888959820844972E-3"/>
    <s v="Modrate Risk"/>
  </r>
  <r>
    <x v="173"/>
    <x v="171"/>
    <n v="148011"/>
    <n v="1325804"/>
    <n v="2816444"/>
    <n v="331198130"/>
    <x v="3"/>
    <x v="53"/>
    <x v="157"/>
    <n v="0.30902656459668287"/>
    <n v="1.2953753694201112E-2"/>
    <s v="Modrate Risk"/>
  </r>
  <r>
    <x v="174"/>
    <x v="172"/>
    <n v="2"/>
    <n v="986"/>
    <n v="140"/>
    <n v="45867852"/>
    <x v="2"/>
    <x v="32"/>
    <x v="158"/>
    <n v="0.87411347517730498"/>
    <n v="2.4592387714166339E-5"/>
    <s v="Low Risk"/>
  </r>
  <r>
    <x v="175"/>
    <x v="173"/>
    <n v="1636"/>
    <n v="37202"/>
    <n v="28258"/>
    <n v="43705858"/>
    <x v="1"/>
    <x v="6"/>
    <x v="159"/>
    <n v="0.55445928222248719"/>
    <n v="1.5351717840661086E-3"/>
    <s v="Modrate Risk"/>
  </r>
  <r>
    <x v="176"/>
    <x v="174"/>
    <n v="345"/>
    <n v="52510"/>
    <n v="6322"/>
    <n v="9902079"/>
    <x v="0"/>
    <x v="54"/>
    <x v="160"/>
    <n v="0.88733798604187442"/>
    <n v="5.9762197413290681E-3"/>
    <s v="Low Risk"/>
  </r>
  <r>
    <x v="177"/>
    <x v="175"/>
    <n v="45844"/>
    <n v="1437"/>
    <n v="254427"/>
    <n v="67922029"/>
    <x v="1"/>
    <x v="42"/>
    <x v="161"/>
    <n v="4.7628833176448756E-3"/>
    <n v="4.4419756659507328E-3"/>
    <s v="High Risk"/>
  </r>
  <r>
    <x v="178"/>
    <x v="176"/>
    <n v="35"/>
    <n v="951"/>
    <n v="216"/>
    <n v="3474956"/>
    <x v="4"/>
    <x v="5"/>
    <x v="162"/>
    <n v="0.79118136439267883"/>
    <n v="3.4590366036289381E-4"/>
    <s v="Modrate Risk"/>
  </r>
  <r>
    <x v="179"/>
    <x v="177"/>
    <n v="121"/>
    <n v="11674"/>
    <n v="9414"/>
    <n v="33516027"/>
    <x v="0"/>
    <x v="10"/>
    <x v="163"/>
    <n v="0.55042670564383045"/>
    <n v="6.3280173392866643E-4"/>
    <s v="Low Risk"/>
  </r>
  <r>
    <x v="180"/>
    <x v="178"/>
    <n v="146"/>
    <n v="9959"/>
    <n v="5883"/>
    <n v="28427499"/>
    <x v="4"/>
    <x v="5"/>
    <x v="164"/>
    <n v="0.62290467850888165"/>
    <n v="5.624131760588577E-4"/>
    <s v="Low Risk"/>
  </r>
  <r>
    <x v="181"/>
    <x v="179"/>
    <n v="0"/>
    <n v="365"/>
    <n v="66"/>
    <n v="97425470"/>
    <x v="0"/>
    <x v="50"/>
    <x v="19"/>
    <n v="0.84686774941995357"/>
    <n v="4.4238944908348918E-6"/>
    <s v="Low Risk"/>
  </r>
  <r>
    <x v="182"/>
    <x v="25"/>
    <n v="78"/>
    <n v="3752"/>
    <n v="6791"/>
    <n v="4800000"/>
    <x v="0"/>
    <x v="19"/>
    <x v="165"/>
    <n v="0.35326240466999342"/>
    <n v="2.2127083333333335E-3"/>
    <s v="Low Risk"/>
  </r>
  <r>
    <x v="183"/>
    <x v="180"/>
    <n v="1"/>
    <n v="8"/>
    <n v="1"/>
    <n v="598682"/>
    <x v="2"/>
    <x v="55"/>
    <x v="166"/>
    <n v="0.8"/>
    <n v="1.6703358377235327E-5"/>
    <s v="High Risk"/>
  </r>
  <r>
    <x v="184"/>
    <x v="181"/>
    <n v="483"/>
    <n v="833"/>
    <n v="375"/>
    <n v="29886897"/>
    <x v="0"/>
    <x v="56"/>
    <x v="167"/>
    <n v="0.49260792430514488"/>
    <n v="5.6579978844909859E-5"/>
    <s v="High Risk"/>
  </r>
  <r>
    <x v="185"/>
    <x v="182"/>
    <n v="140"/>
    <n v="2815"/>
    <n v="1597"/>
    <n v="18430129"/>
    <x v="2"/>
    <x v="31"/>
    <x v="168"/>
    <n v="0.61840949033391912"/>
    <n v="2.4698687676033088E-4"/>
    <s v="Modrate Risk"/>
  </r>
  <r>
    <x v="186"/>
    <x v="183"/>
    <n v="36"/>
    <n v="542"/>
    <n v="2126"/>
    <n v="14883803"/>
    <x v="2"/>
    <x v="4"/>
    <x v="169"/>
    <n v="0.20044378698224852"/>
    <n v="1.8167399823821909E-4"/>
    <s v="Low Risk"/>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s v="Afghanistan"/>
    <x v="0"/>
    <n v="1269"/>
    <x v="0"/>
    <n v="9796"/>
    <n v="39009447"/>
    <s v="Asia"/>
    <d v="2020-02-24T00:00:00"/>
    <n v="3.4994346854920991E-2"/>
    <n v="0.69486804732096075"/>
    <n v="9.2959533622714516E-4"/>
    <s v="Modrate Risk"/>
  </r>
  <r>
    <s v="Albania"/>
    <x v="1"/>
    <n v="144"/>
    <x v="1"/>
    <n v="1991"/>
    <n v="2877470"/>
    <s v="Europe"/>
    <d v="2020-03-09T00:00:00"/>
    <n v="2.9508196721311476E-2"/>
    <n v="0.5625"/>
    <n v="1.6959342755962703E-3"/>
    <s v="Modrate Risk"/>
  </r>
  <r>
    <s v="Algeria"/>
    <x v="2"/>
    <n v="1163"/>
    <x v="2"/>
    <n v="7973"/>
    <n v="43926079"/>
    <s v="Africa"/>
    <d v="2020-02-25T00:00:00"/>
    <n v="4.1575805240767885E-2"/>
    <n v="0.67339934937260926"/>
    <n v="6.3681987185790017E-4"/>
    <s v="Modrate Risk"/>
  </r>
  <r>
    <s v="Andorra"/>
    <x v="3"/>
    <n v="52"/>
    <x v="3"/>
    <n v="52"/>
    <n v="77278"/>
    <s v="Europe"/>
    <d v="2020-03-02T00:00:00"/>
    <n v="5.7331863285556783E-2"/>
    <n v="0.88533627342888643"/>
    <n v="1.1736846191671627E-2"/>
    <s v="High Risk"/>
  </r>
  <r>
    <s v="Angola"/>
    <x v="4"/>
    <n v="41"/>
    <x v="4"/>
    <n v="667"/>
    <n v="32956300"/>
    <s v="Africa"/>
    <d v="2020-03-21T00:00:00"/>
    <n v="4.3157894736842103E-2"/>
    <n v="0.25473684210526315"/>
    <n v="2.8826051468156317E-5"/>
    <s v="Modrate Risk"/>
  </r>
  <r>
    <s v="Antigua and Barbuda"/>
    <x v="5"/>
    <n v="3"/>
    <x v="5"/>
    <n v="18"/>
    <n v="98010"/>
    <s v="North America"/>
    <d v="2020-03-13T00:00:00"/>
    <n v="3.4883720930232558E-2"/>
    <n v="0.7558139534883721"/>
    <n v="8.7746148352208962E-4"/>
    <s v="Modrate Risk"/>
  </r>
  <r>
    <s v="Argentina"/>
    <x v="6"/>
    <n v="3059"/>
    <x v="6"/>
    <n v="91782"/>
    <n v="45236884"/>
    <s v="South America"/>
    <d v="2020-03-03T00:00:00"/>
    <n v="1.8271849763463469E-2"/>
    <n v="0.43350097959573758"/>
    <n v="3.7008738267649026E-3"/>
    <s v="Low Risk"/>
  </r>
  <r>
    <s v="Armenia"/>
    <x v="7"/>
    <n v="711"/>
    <x v="7"/>
    <n v="10014"/>
    <n v="2963811"/>
    <s v="Asia"/>
    <d v="2020-03-01T00:00:00"/>
    <n v="1.901577962021931E-2"/>
    <n v="0.71315859855576358"/>
    <n v="1.2615514282118529E-2"/>
    <s v="Low Risk"/>
  </r>
  <r>
    <s v="Australia"/>
    <x v="8"/>
    <n v="167"/>
    <x v="8"/>
    <n v="5825"/>
    <n v="25528864"/>
    <s v="Australia/Oceania"/>
    <d v="2020-01-25T00:00:00"/>
    <n v="1.0912892896817617E-2"/>
    <n v="0.60844278899562176"/>
    <n v="5.9943912897965216E-4"/>
    <s v="Low Risk"/>
  </r>
  <r>
    <s v="Austria"/>
    <x v="9"/>
    <n v="713"/>
    <x v="9"/>
    <n v="1599"/>
    <n v="9011577"/>
    <s v="Europe"/>
    <d v="2020-02-25T00:00:00"/>
    <n v="3.4682362097480303E-2"/>
    <n v="0.88753769821967121"/>
    <n v="2.2812877257776302E-3"/>
    <s v="Modrate Risk"/>
  </r>
  <r>
    <s v="Azerbaijan"/>
    <x v="10"/>
    <n v="423"/>
    <x v="10"/>
    <n v="6781"/>
    <n v="10148243"/>
    <s v="Asia"/>
    <d v="2020-02-28T00:00:00"/>
    <n v="1.389345069959929E-2"/>
    <n v="0.76338435262431847"/>
    <n v="3.0001252433549336E-3"/>
    <s v="Low Risk"/>
  </r>
  <r>
    <s v="Bahamas"/>
    <x v="11"/>
    <n v="11"/>
    <x v="11"/>
    <n v="280"/>
    <n v="393616"/>
    <s v="North America"/>
    <d v="2020-03-15T00:00:00"/>
    <n v="2.8795811518324606E-2"/>
    <n v="0.23821989528795812"/>
    <n v="9.7048900451201169E-4"/>
    <s v="Modrate Risk"/>
  </r>
  <r>
    <s v="Bahrain"/>
    <x v="12"/>
    <n v="141"/>
    <x v="12"/>
    <n v="3231"/>
    <n v="1706669"/>
    <s v="Asia"/>
    <d v="2020-02-21T00:00:00"/>
    <n v="3.5712476571602247E-3"/>
    <n v="0.91459399219897675"/>
    <n v="2.3133952746548978E-2"/>
    <s v="Low Risk"/>
  </r>
  <r>
    <s v="Bangladesh"/>
    <x v="13"/>
    <n v="2965"/>
    <x v="13"/>
    <n v="97577"/>
    <n v="164851401"/>
    <s v="Asia"/>
    <d v="2020-03-08T00:00:00"/>
    <n v="1.3106420598961211E-2"/>
    <n v="0.55556636092385903"/>
    <n v="1.3722964962851604E-3"/>
    <s v="Low Risk"/>
  </r>
  <r>
    <s v="Barbados"/>
    <x v="14"/>
    <n v="7"/>
    <x v="14"/>
    <n v="9"/>
    <n v="287411"/>
    <s v="North America"/>
    <d v="2020-03-17T00:00:00"/>
    <n v="6.363636363636363E-2"/>
    <n v="0.8545454545454545"/>
    <n v="3.8272717467320317E-4"/>
    <s v="High Risk"/>
  </r>
  <r>
    <s v="Belarus"/>
    <x v="15"/>
    <n v="538"/>
    <x v="15"/>
    <n v="6221"/>
    <n v="9449001"/>
    <s v="Europe"/>
    <d v="2020-02-28T00:00:00"/>
    <n v="7.9998810426610764E-3"/>
    <n v="0.89949591827630815"/>
    <n v="7.1172603326002401E-3"/>
    <s v="Low Risk"/>
  </r>
  <r>
    <s v="Belgium"/>
    <x v="16"/>
    <n v="9822"/>
    <x v="16"/>
    <n v="39154"/>
    <n v="11594739"/>
    <s v="Europe"/>
    <d v="2020-02-04T00:00:00"/>
    <n v="0.14785933642439936"/>
    <n v="0.26272053953152286"/>
    <n v="5.7291500912612179E-3"/>
    <s v="High Risk"/>
  </r>
  <r>
    <s v="Belize"/>
    <x v="17"/>
    <n v="2"/>
    <x v="17"/>
    <n v="20"/>
    <n v="398312"/>
    <s v="North America"/>
    <d v="2020-03-23T00:00:00"/>
    <n v="4.1666666666666664E-2"/>
    <n v="0.54166666666666663"/>
    <n v="1.2050854606439174E-4"/>
    <s v="Modrate Risk"/>
  </r>
  <r>
    <s v="Benin"/>
    <x v="18"/>
    <n v="35"/>
    <x v="18"/>
    <n v="699"/>
    <n v="12151976"/>
    <s v="Africa"/>
    <d v="2020-03-16T00:00:00"/>
    <n v="1.977401129943503E-2"/>
    <n v="0.58531073446327686"/>
    <n v="1.4565532387489903E-4"/>
    <s v="Low Risk"/>
  </r>
  <r>
    <s v="Bhutan"/>
    <x v="19"/>
    <n v="0"/>
    <x v="19"/>
    <n v="13"/>
    <n v="772443"/>
    <s v="Asia"/>
    <d v="2020-03-06T00:00:00"/>
    <n v="0"/>
    <n v="0.86868686868686873"/>
    <n v="1.2816479662577045E-4"/>
    <s v="Low Risk"/>
  </r>
  <r>
    <s v="Bolivia"/>
    <x v="20"/>
    <n v="2647"/>
    <x v="20"/>
    <n v="47056"/>
    <n v="11688459"/>
    <s v="South America"/>
    <d v="2020-03-10T00:00:00"/>
    <n v="3.7186889759907839E-2"/>
    <n v="0.30173782329554233"/>
    <n v="6.0898532475495704E-3"/>
    <s v="Modrate Risk"/>
  </r>
  <r>
    <s v="Bosnia and Herzegovina"/>
    <x v="21"/>
    <n v="294"/>
    <x v="21"/>
    <n v="5274"/>
    <n v="3278650"/>
    <s v="Europe"/>
    <d v="2020-03-05T00:00:00"/>
    <n v="2.8005334349399887E-2"/>
    <n v="0.46961325966850831"/>
    <n v="3.2019276226495663E-3"/>
    <s v="Modrate Risk"/>
  </r>
  <r>
    <s v="Botswana"/>
    <x v="22"/>
    <n v="2"/>
    <x v="22"/>
    <n v="674"/>
    <n v="2356075"/>
    <s v="Africa"/>
    <d v="2020-03-30T00:00:00"/>
    <n v="2.7063599458728013E-3"/>
    <n v="8.5250338294993233E-2"/>
    <n v="3.1365724775314879E-4"/>
    <s v="Low Risk"/>
  </r>
  <r>
    <s v="Brazil"/>
    <x v="23"/>
    <n v="87618"/>
    <x v="23"/>
    <n v="508116"/>
    <n v="212710692"/>
    <s v="South America"/>
    <d v="2020-02-26T00:00:00"/>
    <n v="3.5874097957930291E-2"/>
    <n v="0.75608413941348074"/>
    <n v="1.1482144959596107E-2"/>
    <s v="Modrate Risk"/>
  </r>
  <r>
    <s v="Brunei"/>
    <x v="24"/>
    <n v="3"/>
    <x v="24"/>
    <n v="0"/>
    <n v="437893"/>
    <s v="Asia"/>
    <d v="2020-03-09T00:00:00"/>
    <n v="2.1276595744680851E-2"/>
    <n v="0.97872340425531912"/>
    <n v="3.2199646945715047E-4"/>
    <s v="Modrate Risk"/>
  </r>
  <r>
    <s v="Bulgaria"/>
    <x v="25"/>
    <n v="347"/>
    <x v="25"/>
    <n v="4689"/>
    <n v="6942854"/>
    <s v="Europe"/>
    <d v="2020-03-08T00:00:00"/>
    <n v="3.2671123246398641E-2"/>
    <n v="0.52584502400903865"/>
    <n v="1.5297743550418891E-3"/>
    <s v="Modrate Risk"/>
  </r>
  <r>
    <s v="Burkina Faso"/>
    <x v="26"/>
    <n v="53"/>
    <x v="26"/>
    <n v="121"/>
    <n v="20954852"/>
    <s v="Africa"/>
    <d v="2020-03-09T00:00:00"/>
    <n v="4.818181818181818E-2"/>
    <n v="0.8418181818181818"/>
    <n v="5.2493809071044739E-5"/>
    <s v="Modrate Risk"/>
  </r>
  <r>
    <s v="Myanmar"/>
    <x v="27"/>
    <n v="6"/>
    <x v="27"/>
    <n v="52"/>
    <n v="54446389"/>
    <s v="Asia"/>
    <d v="2020-03-23T00:00:00"/>
    <n v="1.7142857142857144E-2"/>
    <n v="0.8342857142857143"/>
    <n v="6.4283418318155129E-6"/>
    <s v="Low Risk"/>
  </r>
  <r>
    <s v="Burundi"/>
    <x v="28"/>
    <n v="1"/>
    <x v="28"/>
    <n v="76"/>
    <n v="11922216"/>
    <s v="Africa"/>
    <d v="2020-03-31T00:00:00"/>
    <n v="2.6455026455026454E-3"/>
    <n v="0.79629629629629628"/>
    <n v="3.1705515149197092E-5"/>
    <s v="Low Risk"/>
  </r>
  <r>
    <s v="Cabo Verde"/>
    <x v="29"/>
    <n v="22"/>
    <x v="29"/>
    <n v="756"/>
    <n v="556581"/>
    <s v="Africa"/>
    <d v="2020-03-20T00:00:00"/>
    <n v="9.4501718213058413E-3"/>
    <n v="0.66580756013745701"/>
    <n v="4.1826796099759065E-3"/>
    <s v="Low Risk"/>
  </r>
  <r>
    <s v="Cambodia"/>
    <x v="30"/>
    <n v="0"/>
    <x v="30"/>
    <n v="79"/>
    <n v="16741375"/>
    <s v="Asia"/>
    <d v="2020-01-27T00:00:00"/>
    <n v="0"/>
    <n v="0.65044247787610621"/>
    <n v="1.349948854260776E-5"/>
    <s v="Low Risk"/>
  </r>
  <r>
    <s v="Cameroon"/>
    <x v="31"/>
    <n v="391"/>
    <x v="31"/>
    <n v="2180"/>
    <n v="26606188"/>
    <s v="Africa"/>
    <d v="2020-03-06T00:00:00"/>
    <n v="2.2852133255406196E-2"/>
    <n v="0.84973699590882523"/>
    <n v="6.4308348118114476E-4"/>
    <s v="Modrate Risk"/>
  </r>
  <r>
    <s v="Canada"/>
    <x v="32"/>
    <n v="8944"/>
    <x v="32"/>
    <n v="107514"/>
    <n v="37775022"/>
    <s v="North America"/>
    <d v="2020-01-25T00:00:00"/>
    <n v="7.6800219821738305E-2"/>
    <n v="0"/>
    <n v="3.0829366558674672E-3"/>
    <s v="High Risk"/>
  </r>
  <r>
    <s v="Central African Republic"/>
    <x v="33"/>
    <n v="59"/>
    <x v="33"/>
    <n v="2994"/>
    <n v="4837752"/>
    <s v="Africa"/>
    <d v="2020-03-14T00:00:00"/>
    <n v="1.2828875842574472E-2"/>
    <n v="0.33616003479017176"/>
    <n v="9.5064815228229974E-4"/>
    <s v="Low Risk"/>
  </r>
  <r>
    <s v="Chad"/>
    <x v="34"/>
    <n v="75"/>
    <x v="34"/>
    <n v="37"/>
    <n v="17224679"/>
    <s v="Africa"/>
    <d v="2020-03-19T00:00:00"/>
    <n v="8.1344902386117135E-2"/>
    <n v="0.87852494577006512"/>
    <n v="5.3527848037110008E-5"/>
    <s v="High Risk"/>
  </r>
  <r>
    <s v="Chile"/>
    <x v="35"/>
    <n v="9187"/>
    <x v="35"/>
    <n v="18782"/>
    <n v="19132514"/>
    <s v="South America"/>
    <d v="2020-03-03T00:00:00"/>
    <n v="2.6405267832250241E-2"/>
    <n v="0.91961152323933748"/>
    <n v="1.8184907639424697E-2"/>
    <s v="Modrate Risk"/>
  </r>
  <r>
    <s v="China"/>
    <x v="36"/>
    <n v="4656"/>
    <x v="36"/>
    <n v="3258"/>
    <n v="1411778724"/>
    <s v="Africa"/>
    <d v="2019-11-17T00:00:00"/>
    <n v="5.365106069161011E-2"/>
    <n v="0.90880702441722461"/>
    <n v="6.1470681293536756E-5"/>
    <s v="High Risk"/>
  </r>
  <r>
    <s v="Colombia"/>
    <x v="37"/>
    <n v="8777"/>
    <x v="37"/>
    <n v="117163"/>
    <n v="50936262"/>
    <s v="South America"/>
    <d v="2020-03-06T00:00:00"/>
    <n v="3.4138334740043796E-2"/>
    <n v="0.51015359722443709"/>
    <n v="5.0475042711222119E-3"/>
    <s v="Modrate Risk"/>
  </r>
  <r>
    <s v="Comoros"/>
    <x v="38"/>
    <n v="7"/>
    <x v="38"/>
    <n v="19"/>
    <n v="871326"/>
    <s v="Africa"/>
    <d v="2020-04-30T00:00:00"/>
    <n v="1.977401129943503E-2"/>
    <n v="0.92655367231638419"/>
    <n v="4.0627732903643414E-4"/>
    <s v="Low Risk"/>
  </r>
  <r>
    <s v="Congo (Brazzaville)"/>
    <x v="39"/>
    <n v="54"/>
    <x v="39"/>
    <n v="2317"/>
    <n v="5530506"/>
    <s v="Africa"/>
    <d v="2020-03-14T00:00:00"/>
    <n v="1.6875000000000001E-2"/>
    <n v="0.25906249999999997"/>
    <n v="5.7860890124701071E-4"/>
    <s v="Low Risk"/>
  </r>
  <r>
    <s v="Congo (Kinshasa)"/>
    <x v="40"/>
    <n v="208"/>
    <x v="40"/>
    <n v="2936"/>
    <n v="96076573"/>
    <s v="Africa"/>
    <d v="2020-03-10T00:00:00"/>
    <n v="2.3518769787426504E-2"/>
    <n v="0.64450474898236088"/>
    <n v="9.2051576402501362E-5"/>
    <s v="Modrate Risk"/>
  </r>
  <r>
    <s v="Costa Rica"/>
    <x v="41"/>
    <n v="115"/>
    <x v="41"/>
    <n v="11902"/>
    <n v="5098730"/>
    <s v="North America"/>
    <d v="2020-03-06T00:00:00"/>
    <n v="7.2596426993245377E-3"/>
    <n v="0.24139890158449592"/>
    <n v="3.1068520984637352E-3"/>
    <s v="Low Risk"/>
  </r>
  <r>
    <s v="Cote d'Ivoire"/>
    <x v="42"/>
    <n v="96"/>
    <x v="42"/>
    <n v="5198"/>
    <n v="26172000"/>
    <s v="Africa"/>
    <d v="2020-03-11T00:00:00"/>
    <n v="6.1322261258383902E-3"/>
    <n v="0.66183328010220377"/>
    <n v="5.9815833715421058E-4"/>
    <s v="Low Risk"/>
  </r>
  <r>
    <s v="Croatia"/>
    <x v="43"/>
    <n v="139"/>
    <x v="43"/>
    <n v="806"/>
    <n v="4102577"/>
    <s v="Europe"/>
    <d v="2020-02-25T00:00:00"/>
    <n v="2.8477770948576113E-2"/>
    <n v="0.80639213275968036"/>
    <n v="1.1897400097548444E-3"/>
    <s v="Modrate Risk"/>
  </r>
  <r>
    <s v="Cuba"/>
    <x v="44"/>
    <n v="87"/>
    <x v="44"/>
    <n v="94"/>
    <n v="11325899"/>
    <s v="North America"/>
    <d v="2020-03-11T00:00:00"/>
    <n v="3.4360189573459717E-2"/>
    <n v="0.92851500789889418"/>
    <n v="2.2355841244920161E-4"/>
    <s v="Modrate Risk"/>
  </r>
  <r>
    <s v="Cyprus"/>
    <x v="45"/>
    <n v="19"/>
    <x v="45"/>
    <n v="189"/>
    <n v="1208238"/>
    <s v="Asia"/>
    <d v="2020-03-09T00:00:00"/>
    <n v="1.7924528301886792E-2"/>
    <n v="0.80377358490566042"/>
    <n v="8.7731059609116749E-4"/>
    <s v="Low Risk"/>
  </r>
  <r>
    <s v="Czechia"/>
    <x v="46"/>
    <n v="373"/>
    <x v="46"/>
    <n v="3715"/>
    <n v="10711019"/>
    <s v="Europe"/>
    <d v="2020-03-01T00:00:00"/>
    <n v="2.4039700953854087E-2"/>
    <n v="0.7365300335137922"/>
    <n v="1.4486016689915311E-3"/>
    <s v="Modrate Risk"/>
  </r>
  <r>
    <s v="Denmark"/>
    <x v="47"/>
    <n v="613"/>
    <x v="47"/>
    <n v="543"/>
    <n v="5794279"/>
    <s v="Europe"/>
    <d v="2020-02-27T00:00:00"/>
    <n v="4.454618123682872E-2"/>
    <n v="0.91599447714555626"/>
    <n v="2.3749287875160997E-3"/>
    <s v="Modrate Risk"/>
  </r>
  <r>
    <s v="Djibouti"/>
    <x v="48"/>
    <n v="58"/>
    <x v="48"/>
    <n v="24"/>
    <n v="989387"/>
    <s v="Africa"/>
    <d v="2020-03-18T00:00:00"/>
    <n v="1.1464716347104172E-2"/>
    <n v="0.98379126309547338"/>
    <n v="5.1132671037723357E-3"/>
    <s v="Low Risk"/>
  </r>
  <r>
    <s v="Dominica"/>
    <x v="49"/>
    <n v="0"/>
    <x v="49"/>
    <n v="0"/>
    <n v="72004"/>
    <s v="North America"/>
    <d v="2020-03-22T00:00:00"/>
    <n v="0"/>
    <n v="1"/>
    <n v="2.4998611188267316E-4"/>
    <s v="Low Risk"/>
  </r>
  <r>
    <s v="Dominican Republic"/>
    <x v="50"/>
    <n v="1083"/>
    <x v="50"/>
    <n v="32869"/>
    <n v="10858648"/>
    <s v="North America"/>
    <d v="2020-03-01T00:00:00"/>
    <n v="1.688072822495168E-2"/>
    <n v="0.47078994949809838"/>
    <n v="5.9082861881147638E-3"/>
    <s v="Low Risk"/>
  </r>
  <r>
    <s v="Ecuador"/>
    <x v="51"/>
    <n v="5532"/>
    <x v="51"/>
    <n v="40733"/>
    <n v="17668824"/>
    <s v="South America"/>
    <d v="2020-02-29T00:00:00"/>
    <n v="6.8160816155542689E-2"/>
    <n v="0.42996020256034301"/>
    <n v="4.5934579460410038E-3"/>
    <s v="High Risk"/>
  </r>
  <r>
    <s v="Egypt"/>
    <x v="52"/>
    <n v="4652"/>
    <x v="52"/>
    <n v="52992"/>
    <n v="102516525"/>
    <s v="Africa"/>
    <d v="2020-02-14T00:00:00"/>
    <n v="5.0301680326982547E-2"/>
    <n v="0.37670033087519733"/>
    <n v="9.0211797561417541E-4"/>
    <s v="High Risk"/>
  </r>
  <r>
    <s v="El Salvador"/>
    <x v="53"/>
    <n v="408"/>
    <x v="53"/>
    <n v="6849"/>
    <n v="6489514"/>
    <s v="North America"/>
    <d v="2020-03-19T00:00:00"/>
    <n v="2.7136681077485868E-2"/>
    <n v="0.51732623877618888"/>
    <n v="2.3168144794818227E-3"/>
    <s v="Modrate Risk"/>
  </r>
  <r>
    <s v="Equatorial Guinea"/>
    <x v="54"/>
    <n v="51"/>
    <x v="54"/>
    <n v="2178"/>
    <n v="1407001"/>
    <s v="Africa"/>
    <d v="2020-03-14T00:00:00"/>
    <n v="1.6606968414197329E-2"/>
    <n v="0.27417779225008143"/>
    <n v="2.1826565865980196E-3"/>
    <s v="Low Risk"/>
  </r>
  <r>
    <s v="Eritrea"/>
    <x v="55"/>
    <n v="0"/>
    <x v="55"/>
    <n v="74"/>
    <n v="3551175"/>
    <s v="Africa"/>
    <d v="2020-03-21T00:00:00"/>
    <n v="0"/>
    <n v="0.72075471698113203"/>
    <n v="7.4623188099713479E-5"/>
    <s v="Low Risk"/>
  </r>
  <r>
    <s v="Estonia"/>
    <x v="56"/>
    <n v="69"/>
    <x v="56"/>
    <n v="42"/>
    <n v="1326627"/>
    <s v="Europe"/>
    <d v="2020-02-27T00:00:00"/>
    <n v="3.3923303834808259E-2"/>
    <n v="0.94542772861356927"/>
    <n v="1.5332116714042456E-3"/>
    <s v="Modrate Risk"/>
  </r>
  <r>
    <s v="Eswatini"/>
    <x v="57"/>
    <n v="34"/>
    <x v="57"/>
    <n v="1257"/>
    <n v="1161348"/>
    <s v="Africa"/>
    <d v="2020-03-14T00:00:00"/>
    <n v="1.468048359240069E-2"/>
    <n v="0.442573402417962"/>
    <n v="1.9942342863637774E-3"/>
    <s v="Low Risk"/>
  </r>
  <r>
    <s v="Ethiopia"/>
    <x v="58"/>
    <n v="228"/>
    <x v="58"/>
    <n v="7933"/>
    <n v="115223736"/>
    <s v="Africa"/>
    <d v="2020-03-13T00:00:00"/>
    <n v="1.5673334708187256E-2"/>
    <n v="0.43899085722142023"/>
    <n v="1.2625002890029533E-4"/>
    <s v="Low Risk"/>
  </r>
  <r>
    <s v="Fiji"/>
    <x v="59"/>
    <n v="0"/>
    <x v="49"/>
    <n v="9"/>
    <n v="897095"/>
    <s v="Australia/Oceania"/>
    <d v="2020-03-19T00:00:00"/>
    <n v="0"/>
    <n v="0.66666666666666663"/>
    <n v="3.0097146901944609E-5"/>
    <s v="Low Risk"/>
  </r>
  <r>
    <s v="Finland"/>
    <x v="60"/>
    <n v="329"/>
    <x v="59"/>
    <n v="149"/>
    <n v="5541604"/>
    <s v="Europe"/>
    <d v="2020-02-26T00:00:00"/>
    <n v="4.4471478778048121E-2"/>
    <n v="0.93538794268721281"/>
    <n v="1.334992540066017E-3"/>
    <s v="Modrate Risk"/>
  </r>
  <r>
    <s v="France"/>
    <x v="61"/>
    <n v="30212"/>
    <x v="60"/>
    <n v="108928"/>
    <n v="65288306"/>
    <s v="Europe"/>
    <d v="2019-12-27T00:00:00"/>
    <n v="0.13710790008713331"/>
    <n v="0.36855576532094103"/>
    <n v="3.3750607650932158E-3"/>
    <s v="High Risk"/>
  </r>
  <r>
    <s v="Gabon"/>
    <x v="62"/>
    <n v="49"/>
    <x v="61"/>
    <n v="2458"/>
    <n v="2230563"/>
    <s v="Africa"/>
    <d v="2020-03-12T00:00:00"/>
    <n v="6.815968841285297E-3"/>
    <n v="0.65127277785505633"/>
    <n v="3.2229531288737417E-3"/>
    <s v="Low Risk"/>
  </r>
  <r>
    <s v="Gambia"/>
    <x v="63"/>
    <n v="8"/>
    <x v="62"/>
    <n v="252"/>
    <n v="2422754"/>
    <s v="Africa"/>
    <d v="2020-03-17T00:00:00"/>
    <n v="2.4539877300613498E-2"/>
    <n v="0.20245398773006135"/>
    <n v="1.345576150116768E-4"/>
    <s v="Modrate Risk"/>
  </r>
  <r>
    <s v="Georgia"/>
    <x v="64"/>
    <n v="16"/>
    <x v="63"/>
    <n v="199"/>
    <n v="3988368"/>
    <s v="Asia"/>
    <d v="2020-02-26T00:00:00"/>
    <n v="1.4072119613016711E-2"/>
    <n v="0.81090589270008795"/>
    <n v="2.8507900976038319E-4"/>
    <s v="Low Risk"/>
  </r>
  <r>
    <s v="Germany"/>
    <x v="65"/>
    <n v="9125"/>
    <x v="64"/>
    <n v="7673"/>
    <n v="83811260"/>
    <s v="Europe"/>
    <d v="2020-01-27T00:00:00"/>
    <n v="4.4058287303487965E-2"/>
    <n v="0.91889412491791878"/>
    <n v="2.4711715347078664E-3"/>
    <s v="Modrate Risk"/>
  </r>
  <r>
    <s v="Ghana"/>
    <x v="66"/>
    <n v="168"/>
    <x v="65"/>
    <n v="3655"/>
    <n v="31133483"/>
    <s v="Africa"/>
    <d v="2020-03-12T00:00:00"/>
    <n v="4.9964311206281229E-3"/>
    <n v="0.88630145134427785"/>
    <n v="1.0799948081620036E-3"/>
    <s v="Low Risk"/>
  </r>
  <r>
    <s v="Greece"/>
    <x v="67"/>
    <n v="202"/>
    <x v="66"/>
    <n v="2651"/>
    <n v="10417673"/>
    <s v="Europe"/>
    <d v="2020-02-26T00:00:00"/>
    <n v="4.7788029335225926E-2"/>
    <n v="0.32505322924059615"/>
    <n v="4.0575280103339776E-4"/>
    <s v="Modrate Risk"/>
  </r>
  <r>
    <s v="Greenland"/>
    <x v="68"/>
    <n v="0"/>
    <x v="67"/>
    <n v="1"/>
    <n v="56780"/>
    <s v="North America"/>
    <d v="2020-03-08T00:00:00"/>
    <n v="0"/>
    <n v="0.9285714285714286"/>
    <n v="2.4656569214512151E-4"/>
    <s v="Low Risk"/>
  </r>
  <r>
    <s v="Grenada"/>
    <x v="69"/>
    <n v="0"/>
    <x v="68"/>
    <n v="0"/>
    <n v="112576"/>
    <s v="North America"/>
    <d v="2020-03-22T00:00:00"/>
    <n v="0"/>
    <n v="1"/>
    <n v="2.0430642410460489E-4"/>
    <s v="Low Risk"/>
  </r>
  <r>
    <s v="Guatemala"/>
    <x v="70"/>
    <n v="1761"/>
    <x v="69"/>
    <n v="11093"/>
    <n v="17946899"/>
    <s v="North America"/>
    <d v="2020-03-13T00:00:00"/>
    <n v="3.8866450374097861E-2"/>
    <n v="0.71630360414045779"/>
    <n v="2.5246144194604318E-3"/>
    <s v="Modrate Risk"/>
  </r>
  <r>
    <s v="Guinea"/>
    <x v="71"/>
    <n v="45"/>
    <x v="70"/>
    <n v="753"/>
    <n v="13164905"/>
    <s v="Africa"/>
    <d v="2020-03-13T00:00:00"/>
    <n v="6.3784549964564135E-3"/>
    <n v="0.88688873139617297"/>
    <n v="5.3589448613567661E-4"/>
    <s v="Low Risk"/>
  </r>
  <r>
    <s v="Guinea-Bissau"/>
    <x v="72"/>
    <n v="26"/>
    <x v="3"/>
    <n v="1125"/>
    <n v="1972277"/>
    <s v="Africa"/>
    <d v="2020-03-25T00:00:00"/>
    <n v="1.3306038894575231E-2"/>
    <n v="0.41095189355168882"/>
    <n v="9.907330461187754E-4"/>
    <s v="Low Risk"/>
  </r>
  <r>
    <s v="Guyana"/>
    <x v="73"/>
    <n v="20"/>
    <x v="71"/>
    <n v="188"/>
    <n v="786936"/>
    <s v="South America"/>
    <d v="2020-03-12T00:00:00"/>
    <n v="5.1413881748071981E-2"/>
    <n v="0.4652956298200514"/>
    <n v="4.943222828794209E-4"/>
    <s v="High Risk"/>
  </r>
  <r>
    <s v="Haiti"/>
    <x v="74"/>
    <n v="158"/>
    <x v="72"/>
    <n v="2817"/>
    <n v="11416103"/>
    <s v="North America"/>
    <d v="2020-03-19T00:00:00"/>
    <n v="2.1525885558583105E-2"/>
    <n v="0.59468664850136244"/>
    <n v="6.4295145199723587E-4"/>
    <s v="Modrate Risk"/>
  </r>
  <r>
    <s v="Holy See"/>
    <x v="75"/>
    <n v="0"/>
    <x v="73"/>
    <n v="0"/>
    <n v="528"/>
    <s v="Europe"/>
    <d v="2020-03-22T00:00:00"/>
    <n v="0"/>
    <n v="1"/>
    <n v="2.2727272727272728E-2"/>
    <s v="Low Risk"/>
  </r>
  <r>
    <s v="Honduras"/>
    <x v="76"/>
    <n v="1166"/>
    <x v="74"/>
    <n v="33536"/>
    <n v="10012084"/>
    <s v="North America"/>
    <d v="2020-03-17T00:00:00"/>
    <n v="2.9339976346845827E-2"/>
    <n v="0.12679600412672051"/>
    <n v="3.9693034936582631E-3"/>
    <s v="Modrate Risk"/>
  </r>
  <r>
    <s v="Hungary"/>
    <x v="77"/>
    <n v="596"/>
    <x v="75"/>
    <n v="523"/>
    <n v="9657785"/>
    <s v="Europe"/>
    <d v="2020-03-04T00:00:00"/>
    <n v="0.13399280575539568"/>
    <n v="0.74842625899280579"/>
    <n v="4.6056109138896753E-4"/>
    <s v="High Risk"/>
  </r>
  <r>
    <s v="Iceland"/>
    <x v="78"/>
    <n v="10"/>
    <x v="76"/>
    <n v="21"/>
    <n v="341465"/>
    <s v="Europe"/>
    <d v="2020-02-28T00:00:00"/>
    <n v="5.3937432578209281E-3"/>
    <n v="0.98327939590075508"/>
    <n v="5.4295462199639788E-3"/>
    <s v="Low Risk"/>
  </r>
  <r>
    <s v="India"/>
    <x v="79"/>
    <n v="33408"/>
    <x v="77"/>
    <n v="495499"/>
    <n v="1381344997"/>
    <s v="Asia"/>
    <d v="2020-01-30T00:00:00"/>
    <n v="2.2571859631247918E-2"/>
    <n v="0.64264803154979522"/>
    <n v="1.0714723716482247E-3"/>
    <s v="Modrate Risk"/>
  </r>
  <r>
    <s v="Indonesia"/>
    <x v="80"/>
    <n v="4838"/>
    <x v="78"/>
    <n v="37292"/>
    <n v="273808365"/>
    <s v="Asia"/>
    <d v="2020-03-02T00:00:00"/>
    <n v="4.8233851430166598E-2"/>
    <n v="0.57997268277120329"/>
    <n v="3.6632555035343787E-4"/>
    <s v="Modrate Risk"/>
  </r>
  <r>
    <s v="Iran"/>
    <x v="81"/>
    <n v="15912"/>
    <x v="79"/>
    <n v="22550"/>
    <n v="84097623"/>
    <s v="Asia"/>
    <d v="2020-02-19T00:00:00"/>
    <n v="5.4195077757266542E-2"/>
    <n v="0.86900131468702957"/>
    <n v="3.4912520654715772E-3"/>
    <s v="High Risk"/>
  </r>
  <r>
    <s v="Iraq"/>
    <x v="82"/>
    <n v="4458"/>
    <x v="80"/>
    <n v="30983"/>
    <n v="40306025"/>
    <s v="Asia"/>
    <d v="2020-02-22T00:00:00"/>
    <n v="3.9596749122884932E-2"/>
    <n v="0.68520673269085575"/>
    <n v="2.7932548545781927E-3"/>
    <s v="Modrate Risk"/>
  </r>
  <r>
    <s v="Ireland"/>
    <x v="83"/>
    <n v="1764"/>
    <x v="81"/>
    <n v="764"/>
    <n v="4943200"/>
    <s v="Europe"/>
    <d v="2020-02-29T00:00:00"/>
    <n v="6.8129151861578863E-2"/>
    <n v="0.90236366445234051"/>
    <n v="5.2379025732319142E-3"/>
    <s v="High Risk"/>
  </r>
  <r>
    <s v="Israel"/>
    <x v="84"/>
    <n v="474"/>
    <x v="82"/>
    <n v="36378"/>
    <n v="9197590"/>
    <s v="Asia"/>
    <d v="2020-02-21T00:00:00"/>
    <n v="7.407986246776588E-3"/>
    <n v="0.42405251230757207"/>
    <n v="6.9567136608611607E-3"/>
    <s v="Low Risk"/>
  </r>
  <r>
    <s v="Italy"/>
    <x v="85"/>
    <n v="35112"/>
    <x v="83"/>
    <n v="12581"/>
    <n v="60452568"/>
    <s v="Europe"/>
    <d v="2020-01-31T00:00:00"/>
    <n v="0.14256595990027854"/>
    <n v="0.80635115272488078"/>
    <n v="4.0740370202304726E-3"/>
    <s v="High Risk"/>
  </r>
  <r>
    <s v="Jamaica"/>
    <x v="86"/>
    <n v="10"/>
    <x v="84"/>
    <n v="129"/>
    <n v="2962478"/>
    <s v="North America"/>
    <d v="2020-03-10T00:00:00"/>
    <n v="1.1723329425556858E-2"/>
    <n v="0.83704572098475971"/>
    <n v="2.8793462770018881E-4"/>
    <s v="Low Risk"/>
  </r>
  <r>
    <s v="Japan"/>
    <x v="87"/>
    <n v="998"/>
    <x v="85"/>
    <n v="8174"/>
    <n v="126435859"/>
    <s v="Asia"/>
    <d v="2020-01-16T00:00:00"/>
    <n v="3.2046753580373774E-2"/>
    <n v="0.70547813242566304"/>
    <n v="2.4630670639094564E-4"/>
    <s v="Modrate Risk"/>
  </r>
  <r>
    <s v="Jordan"/>
    <x v="88"/>
    <n v="11"/>
    <x v="86"/>
    <n v="124"/>
    <n v="10213138"/>
    <s v="Asia"/>
    <d v="2020-03-02T00:00:00"/>
    <n v="9.3537414965986394E-3"/>
    <n v="0.88520408163265307"/>
    <n v="1.1514580533426651E-4"/>
    <s v="Low Risk"/>
  </r>
  <r>
    <s v="Kazakhstan"/>
    <x v="89"/>
    <n v="585"/>
    <x v="87"/>
    <n v="29659"/>
    <n v="18798667"/>
    <s v="Asia"/>
    <d v="2020-03-13T00:00:00"/>
    <n v="6.9109724978735467E-3"/>
    <n v="0.64270862867403833"/>
    <n v="4.5028724643082409E-3"/>
    <s v="Low Risk"/>
  </r>
  <r>
    <s v="Kenya"/>
    <x v="90"/>
    <n v="285"/>
    <x v="88"/>
    <n v="9857"/>
    <n v="53881160"/>
    <s v="Africa"/>
    <d v="2020-03-13T00:00:00"/>
    <n v="1.5855354659248956E-2"/>
    <n v="0.4357719054242003"/>
    <n v="3.3360454748932648E-4"/>
    <s v="Low Risk"/>
  </r>
  <r>
    <s v="Kosovo"/>
    <x v="91"/>
    <n v="185"/>
    <x v="89"/>
    <n v="3201"/>
    <n v="1790152"/>
    <s v="Europe"/>
    <d v="2020-03-13T00:00:00"/>
    <n v="2.4956158100634021E-2"/>
    <n v="0.54323485768244972"/>
    <n v="4.1409891450558392E-3"/>
    <s v="Modrate Risk"/>
  </r>
  <r>
    <s v="Kuwait"/>
    <x v="92"/>
    <n v="438"/>
    <x v="90"/>
    <n v="8884"/>
    <n v="4276658"/>
    <s v="Asia"/>
    <d v="2020-02-24T00:00:00"/>
    <n v="6.8034607558365304E-3"/>
    <n v="0.85520123021482164"/>
    <n v="1.5053576881761413E-2"/>
    <s v="Low Risk"/>
  </r>
  <r>
    <s v="Kyrgyzstan"/>
    <x v="93"/>
    <n v="1301"/>
    <x v="91"/>
    <n v="10790"/>
    <n v="6534479"/>
    <s v="Asia"/>
    <d v="2020-03-18T00:00:00"/>
    <n v="3.9073762614127823E-2"/>
    <n v="0.63686328688130711"/>
    <n v="5.0954330100379842E-3"/>
    <s v="Modrate Risk"/>
  </r>
  <r>
    <s v="Laos"/>
    <x v="94"/>
    <n v="0"/>
    <x v="92"/>
    <n v="1"/>
    <n v="7285750"/>
    <s v="Asia"/>
    <d v="2020-03-24T00:00:00"/>
    <n v="0"/>
    <n v="0.95"/>
    <n v="2.7450845829187114E-6"/>
    <s v="Low Risk"/>
  </r>
  <r>
    <s v="Latvia"/>
    <x v="95"/>
    <n v="31"/>
    <x v="93"/>
    <n v="143"/>
    <n v="1883936"/>
    <s v="Europe"/>
    <d v="2020-03-02T00:00:00"/>
    <n v="2.5430680885972109E-2"/>
    <n v="0.85726004922067267"/>
    <n v="6.4704958130212494E-4"/>
    <s v="Modrate Risk"/>
  </r>
  <r>
    <s v="Lebanon"/>
    <x v="96"/>
    <n v="51"/>
    <x v="94"/>
    <n v="2122"/>
    <n v="6822220"/>
    <s v="Asia"/>
    <d v="2020-02-21T00:00:00"/>
    <n v="1.3137557959814529E-2"/>
    <n v="0.44023699124162802"/>
    <n v="5.6902298665243865E-4"/>
    <s v="Low Risk"/>
  </r>
  <r>
    <s v="Lesotho"/>
    <x v="97"/>
    <n v="12"/>
    <x v="95"/>
    <n v="365"/>
    <n v="2143943"/>
    <s v="Africa"/>
    <d v="2020-05-13T00:00:00"/>
    <n v="2.3762376237623763E-2"/>
    <n v="0.25346534653465347"/>
    <n v="2.3554730699463559E-4"/>
    <s v="Modrate Risk"/>
  </r>
  <r>
    <s v="Liberia"/>
    <x v="98"/>
    <n v="72"/>
    <x v="96"/>
    <n v="449"/>
    <n v="5068618"/>
    <s v="Africa"/>
    <d v="2020-03-16T00:00:00"/>
    <n v="6.1696658097686374E-2"/>
    <n v="0.55355612682090827"/>
    <n v="2.3024027456793942E-4"/>
    <s v="High Risk"/>
  </r>
  <r>
    <s v="Libya"/>
    <x v="99"/>
    <n v="64"/>
    <x v="97"/>
    <n v="2186"/>
    <n v="6880353"/>
    <s v="Africa"/>
    <d v="2020-03-24T00:00:00"/>
    <n v="2.2638839759462327E-2"/>
    <n v="0.20410328970640254"/>
    <n v="4.1088008129815432E-4"/>
    <s v="Modrate Risk"/>
  </r>
  <r>
    <s v="Liechtenstein"/>
    <x v="5"/>
    <n v="1"/>
    <x v="98"/>
    <n v="4"/>
    <n v="38139"/>
    <s v="Europe"/>
    <d v="2020-03-03T00:00:00"/>
    <n v="1.1627906976744186E-2"/>
    <n v="0.94186046511627908"/>
    <n v="2.2549096725136999E-3"/>
    <s v="Low Risk"/>
  </r>
  <r>
    <s v="Lithuania"/>
    <x v="100"/>
    <n v="80"/>
    <x v="99"/>
    <n v="319"/>
    <n v="2718121"/>
    <s v="Europe"/>
    <d v="2020-02-28T00:00:00"/>
    <n v="3.9623576027736501E-2"/>
    <n v="0.80237741456166423"/>
    <n v="7.4279253940497862E-4"/>
    <s v="Modrate Risk"/>
  </r>
  <r>
    <s v="Luxembourg"/>
    <x v="101"/>
    <n v="112"/>
    <x v="100"/>
    <n v="1384"/>
    <n v="626952"/>
    <s v="Europe"/>
    <d v="2020-02-29T00:00:00"/>
    <n v="1.7718715393133997E-2"/>
    <n v="0.763328587248853"/>
    <n v="1.0082111549209509E-2"/>
    <s v="Low Risk"/>
  </r>
  <r>
    <s v="Madagascar"/>
    <x v="102"/>
    <n v="91"/>
    <x v="101"/>
    <n v="3339"/>
    <n v="27755708"/>
    <s v="Africa"/>
    <d v="2020-03-20T00:00:00"/>
    <n v="9.3911248710010324E-3"/>
    <n v="0.6460268317853457"/>
    <n v="3.491173779461868E-4"/>
    <s v="Low Risk"/>
  </r>
  <r>
    <s v="Malawi"/>
    <x v="103"/>
    <n v="99"/>
    <x v="102"/>
    <n v="1920"/>
    <n v="19174839"/>
    <s v="Africa"/>
    <d v="2020-04-01T00:00:00"/>
    <n v="2.7019650655021835E-2"/>
    <n v="0.44896288209606988"/>
    <n v="1.910837426066524E-4"/>
    <s v="Modrate Risk"/>
  </r>
  <r>
    <s v="Malaysia"/>
    <x v="104"/>
    <n v="124"/>
    <x v="103"/>
    <n v="179"/>
    <n v="32406372"/>
    <s v="Asia"/>
    <d v="2020-01-25T00:00:00"/>
    <n v="1.3926325247079964E-2"/>
    <n v="0.96597035040431267"/>
    <n v="2.7476077852837093E-4"/>
    <s v="Low Risk"/>
  </r>
  <r>
    <s v="Maldives"/>
    <x v="105"/>
    <n v="15"/>
    <x v="104"/>
    <n v="807"/>
    <n v="541448"/>
    <s v="Asia"/>
    <d v="2020-03-07T00:00:00"/>
    <n v="4.4523597506678537E-3"/>
    <n v="0.75601068566340157"/>
    <n v="6.2222041636500643E-3"/>
    <s v="Low Risk"/>
  </r>
  <r>
    <s v="Mali"/>
    <x v="106"/>
    <n v="124"/>
    <x v="105"/>
    <n v="476"/>
    <n v="20302901"/>
    <s v="Africa"/>
    <d v="2020-03-25T00:00:00"/>
    <n v="4.9343414245921209E-2"/>
    <n v="0.76124154397134902"/>
    <n v="1.2377541514880066E-4"/>
    <s v="Modrate Risk"/>
  </r>
  <r>
    <s v="Malta"/>
    <x v="107"/>
    <n v="9"/>
    <x v="106"/>
    <n v="27"/>
    <n v="441663"/>
    <s v="Europe"/>
    <d v="2020-03-07T00:00:00"/>
    <n v="1.2838801711840228E-2"/>
    <n v="0.94864479315263905"/>
    <n v="1.5871829879342395E-3"/>
    <s v="Low Risk"/>
  </r>
  <r>
    <s v="Mauritania"/>
    <x v="108"/>
    <n v="156"/>
    <x v="107"/>
    <n v="1399"/>
    <n v="4660728"/>
    <s v="Africa"/>
    <d v="2020-03-13T00:00:00"/>
    <n v="2.5128865979381444E-2"/>
    <n v="0.74951675257731953"/>
    <n v="1.3319807549378553E-3"/>
    <s v="Modrate Risk"/>
  </r>
  <r>
    <s v="Mauritius"/>
    <x v="109"/>
    <n v="10"/>
    <x v="108"/>
    <n v="2"/>
    <n v="1271985"/>
    <s v="Africa"/>
    <d v="2020-03-18T00:00:00"/>
    <n v="2.9069767441860465E-2"/>
    <n v="0.96511627906976749"/>
    <n v="2.7044344076384549E-4"/>
    <s v="Modrate Risk"/>
  </r>
  <r>
    <s v="Mexico"/>
    <x v="110"/>
    <n v="44022"/>
    <x v="109"/>
    <n v="47657"/>
    <n v="129066160"/>
    <s v="North America"/>
    <d v="2020-02-28T00:00:00"/>
    <n v="0.11131030193001576"/>
    <n v="0.7681882429094109"/>
    <n v="3.0642346529872739E-3"/>
    <s v="High Risk"/>
  </r>
  <r>
    <s v="Moldova"/>
    <x v="111"/>
    <n v="748"/>
    <x v="110"/>
    <n v="6252"/>
    <n v="4032983"/>
    <s v="Europe"/>
    <d v="2020-03-07T00:00:00"/>
    <n v="3.2305433186490456E-2"/>
    <n v="0.69767642739915348"/>
    <n v="5.7411598313208854E-3"/>
    <s v="Modrate Risk"/>
  </r>
  <r>
    <s v="Monaco"/>
    <x v="112"/>
    <n v="4"/>
    <x v="111"/>
    <n v="8"/>
    <n v="39270"/>
    <s v="Europe"/>
    <d v="2020-02-29T00:00:00"/>
    <n v="3.4482758620689655E-2"/>
    <n v="0.89655172413793105"/>
    <n v="2.9539088362617776E-3"/>
    <s v="Modrate Risk"/>
  </r>
  <r>
    <s v="Mongolia"/>
    <x v="113"/>
    <n v="0"/>
    <x v="112"/>
    <n v="67"/>
    <n v="3283344"/>
    <s v="Asia"/>
    <d v="2020-03-10T00:00:00"/>
    <n v="0"/>
    <n v="0.76816608996539792"/>
    <n v="8.8020018615167948E-5"/>
    <s v="Low Risk"/>
  </r>
  <r>
    <s v="Montenegro"/>
    <x v="114"/>
    <n v="45"/>
    <x v="113"/>
    <n v="2039"/>
    <n v="628074"/>
    <s v="Europe"/>
    <d v="2020-03-17T00:00:00"/>
    <n v="1.5554787417905289E-2"/>
    <n v="0.27964051157967507"/>
    <n v="4.6061451357642573E-3"/>
    <s v="Low Risk"/>
  </r>
  <r>
    <s v="Morocco"/>
    <x v="115"/>
    <n v="316"/>
    <x v="114"/>
    <n v="4018"/>
    <n v="36953359"/>
    <s v="Africa"/>
    <d v="2020-03-02T00:00:00"/>
    <n v="1.5129027624838417E-2"/>
    <n v="0.79250251352515921"/>
    <n v="5.6522601910153822E-4"/>
    <s v="Low Risk"/>
  </r>
  <r>
    <s v="Mozambique"/>
    <x v="116"/>
    <n v="11"/>
    <x v="32"/>
    <n v="1690"/>
    <n v="31333962"/>
    <s v="Africa"/>
    <d v="2020-03-22T00:00:00"/>
    <n v="6.4667842445620223E-3"/>
    <n v="0"/>
    <n v="5.4286144854583022E-5"/>
    <s v="Low Risk"/>
  </r>
  <r>
    <s v="Namibia"/>
    <x v="117"/>
    <n v="8"/>
    <x v="115"/>
    <n v="1734"/>
    <n v="2545264"/>
    <s v="Africa"/>
    <d v="2020-03-14T00:00:00"/>
    <n v="4.3407487791644059E-3"/>
    <n v="5.4801953336950621E-2"/>
    <n v="7.2408991758811663E-4"/>
    <s v="Low Risk"/>
  </r>
  <r>
    <s v="Nepal"/>
    <x v="118"/>
    <n v="48"/>
    <x v="116"/>
    <n v="4950"/>
    <n v="29186486"/>
    <s v="Asia"/>
    <d v="2020-01-13T00:00:00"/>
    <n v="2.5597269624573378E-3"/>
    <n v="0.73346843003412965"/>
    <n v="6.4248913007204774E-4"/>
    <s v="Low Risk"/>
  </r>
  <r>
    <s v="Netherlands"/>
    <x v="119"/>
    <n v="6160"/>
    <x v="117"/>
    <n v="47064"/>
    <n v="17138756"/>
    <s v="Europe"/>
    <d v="2020-02-27T00:00:00"/>
    <n v="0.11532772920450078"/>
    <n v="3.5384644187744555E-3"/>
    <n v="3.1165039049508613E-3"/>
    <s v="High Risk"/>
  </r>
  <r>
    <s v="New Zealand"/>
    <x v="120"/>
    <n v="22"/>
    <x v="118"/>
    <n v="21"/>
    <n v="5002100"/>
    <s v="Australia/Oceania"/>
    <d v="2020-02-28T00:00:00"/>
    <n v="1.4129736673089274E-2"/>
    <n v="0.97238278741168915"/>
    <n v="3.112692669078987E-4"/>
    <s v="Low Risk"/>
  </r>
  <r>
    <s v="Nicaragua"/>
    <x v="121"/>
    <n v="108"/>
    <x v="119"/>
    <n v="839"/>
    <n v="6632263"/>
    <s v="North America"/>
    <d v="2020-03-18T00:00:00"/>
    <n v="3.1404478045943589E-2"/>
    <n v="0.72462925268973544"/>
    <n v="5.1852587872344626E-4"/>
    <s v="Modrate Risk"/>
  </r>
  <r>
    <s v="Niger"/>
    <x v="122"/>
    <n v="69"/>
    <x v="120"/>
    <n v="36"/>
    <n v="24281433"/>
    <s v="Africa"/>
    <d v="2020-03-19T00:00:00"/>
    <n v="6.0954063604240286E-2"/>
    <n v="0.90724381625441697"/>
    <n v="4.6619983260460779E-5"/>
    <s v="High Risk"/>
  </r>
  <r>
    <s v="Nigeria"/>
    <x v="123"/>
    <n v="860"/>
    <x v="121"/>
    <n v="22117"/>
    <n v="206606300"/>
    <s v="Africa"/>
    <d v="2020-02-27T00:00:00"/>
    <n v="2.0883924235065566E-2"/>
    <n v="0.44203496843127732"/>
    <n v="1.9931628415977636E-4"/>
    <s v="Modrate Risk"/>
  </r>
  <r>
    <s v="North Macedonia"/>
    <x v="124"/>
    <n v="466"/>
    <x v="122"/>
    <n v="4183"/>
    <n v="2083365"/>
    <s v="Europe"/>
    <d v="2020-02-26T00:00:00"/>
    <n v="4.5628121022226575E-2"/>
    <n v="0.54479584842847351"/>
    <n v="4.9021654870845966E-3"/>
    <s v="Modrate Risk"/>
  </r>
  <r>
    <s v="Norway"/>
    <x v="125"/>
    <n v="255"/>
    <x v="123"/>
    <n v="125"/>
    <n v="5425471"/>
    <s v="Europe"/>
    <d v="2020-02-26T00:00:00"/>
    <n v="2.7923784494086726E-2"/>
    <n v="0.95838808585194923"/>
    <n v="1.6831718389057834E-3"/>
    <s v="Modrate Risk"/>
  </r>
  <r>
    <s v="Oman"/>
    <x v="126"/>
    <n v="393"/>
    <x v="124"/>
    <n v="19637"/>
    <n v="5118446"/>
    <s v="Asia"/>
    <d v="2020-02-24T00:00:00"/>
    <n v="5.1000545043992833E-3"/>
    <n v="0.74006592436865737"/>
    <n v="1.5054960040606075E-2"/>
    <s v="Low Risk"/>
  </r>
  <r>
    <s v="Pakistan"/>
    <x v="127"/>
    <n v="5842"/>
    <x v="125"/>
    <n v="27421"/>
    <n v="221295851"/>
    <s v="Asia"/>
    <d v="2020-02-26T00:00:00"/>
    <n v="2.1298703192618004E-2"/>
    <n v="0.8787300985456945"/>
    <n v="1.2394674313166406E-3"/>
    <s v="Modrate Risk"/>
  </r>
  <r>
    <s v="Panama"/>
    <x v="128"/>
    <n v="1322"/>
    <x v="126"/>
    <n v="25034"/>
    <n v="5112340"/>
    <s v="Asia"/>
    <d v="2020-03-09T00:00:00"/>
    <n v="2.1516226685329255E-2"/>
    <n v="0.57104260929006212"/>
    <n v="1.2018371235089998E-2"/>
    <s v="Modrate Risk"/>
  </r>
  <r>
    <s v="Papua New Guinea"/>
    <x v="129"/>
    <n v="0"/>
    <x v="127"/>
    <n v="51"/>
    <n v="8963009"/>
    <s v="Australia/Oceania"/>
    <d v="2020-03-20T00:00:00"/>
    <n v="0"/>
    <n v="0.17741935483870969"/>
    <n v="6.9173198420307291E-6"/>
    <s v="Low Risk"/>
  </r>
  <r>
    <s v="Paraguay"/>
    <x v="130"/>
    <n v="43"/>
    <x v="128"/>
    <n v="1600"/>
    <n v="7141091"/>
    <s v="South America"/>
    <d v="2020-03-07T00:00:00"/>
    <n v="9.4547053649956022E-3"/>
    <n v="0.63874230430958667"/>
    <n v="6.368774743243014E-4"/>
    <s v="Low Risk"/>
  </r>
  <r>
    <s v="Peru"/>
    <x v="131"/>
    <n v="18418"/>
    <x v="129"/>
    <n v="98752"/>
    <n v="33016319"/>
    <s v="South America"/>
    <d v="2020-03-06T00:00:00"/>
    <n v="4.7259934773181564E-2"/>
    <n v="0.69934593564047753"/>
    <n v="1.180376891803111E-2"/>
    <s v="Modrate Risk"/>
  </r>
  <r>
    <s v="Philippines"/>
    <x v="132"/>
    <n v="1945"/>
    <x v="130"/>
    <n v="53649"/>
    <n v="109722719"/>
    <s v="Asia"/>
    <d v="2020-01-30T00:00:00"/>
    <n v="2.370794734275963E-2"/>
    <n v="0.32235494880546073"/>
    <n v="7.4770294381786148E-4"/>
    <s v="Modrate Risk"/>
  </r>
  <r>
    <s v="Poland"/>
    <x v="133"/>
    <n v="1676"/>
    <x v="131"/>
    <n v="8870"/>
    <n v="37842302"/>
    <s v="Europe"/>
    <d v="2020-03-04T00:00:00"/>
    <n v="3.8615731993917331E-2"/>
    <n v="0.75701580572323857"/>
    <n v="1.1469175421727779E-3"/>
    <s v="Modrate Risk"/>
  </r>
  <r>
    <s v="Portugal"/>
    <x v="134"/>
    <n v="1719"/>
    <x v="132"/>
    <n v="13205"/>
    <n v="10193593"/>
    <s v="Europe"/>
    <d v="2020-03-02T00:00:00"/>
    <n v="3.4175629734189548E-2"/>
    <n v="0.70329430008548877"/>
    <n v="4.9343739739265632E-3"/>
    <s v="Modrate Risk"/>
  </r>
  <r>
    <s v="Qatar"/>
    <x v="135"/>
    <n v="165"/>
    <x v="133"/>
    <n v="3104"/>
    <n v="2807805"/>
    <s v="Asia"/>
    <d v="2020-02-27T00:00:00"/>
    <n v="1.5055156619250528E-3"/>
    <n v="0.97017254121919394"/>
    <n v="3.9032981278970584E-2"/>
    <s v="Low Risk"/>
  </r>
  <r>
    <s v="Romania"/>
    <x v="136"/>
    <n v="2206"/>
    <x v="134"/>
    <n v="17902"/>
    <n v="19224023"/>
    <s v="Europe"/>
    <d v="2020-02-26T00:00:00"/>
    <n v="4.805890810857915E-2"/>
    <n v="0.56193629907193587"/>
    <n v="2.3877416293145303E-3"/>
    <s v="Modrate Risk"/>
  </r>
  <r>
    <s v="Russia"/>
    <x v="137"/>
    <n v="13334"/>
    <x v="135"/>
    <n v="201097"/>
    <n v="145940924"/>
    <s v="Europe"/>
    <d v="2020-01-31T00:00:00"/>
    <n v="1.6327080374197972E-2"/>
    <n v="0.73743571533525987"/>
    <n v="5.5959629253820543E-3"/>
    <s v="Low Risk"/>
  </r>
  <r>
    <s v="Rwanda"/>
    <x v="138"/>
    <n v="5"/>
    <x v="136"/>
    <n v="899"/>
    <n v="12981546"/>
    <s v="Africa"/>
    <d v="2020-03-14T00:00:00"/>
    <n v="2.6609898882384245E-3"/>
    <n v="0.51889302820649286"/>
    <n v="1.4474393111575461E-4"/>
    <s v="Low Risk"/>
  </r>
  <r>
    <s v="Saint Kitts and Nevis"/>
    <x v="139"/>
    <n v="0"/>
    <x v="137"/>
    <n v="2"/>
    <n v="53237"/>
    <s v="North America"/>
    <d v="2020-03-24T00:00:00"/>
    <n v="0"/>
    <n v="0.88235294117647056"/>
    <n v="3.1932678400360654E-4"/>
    <s v="Low Risk"/>
  </r>
  <r>
    <s v="Saint Lucia"/>
    <x v="140"/>
    <n v="0"/>
    <x v="138"/>
    <n v="2"/>
    <n v="183712"/>
    <s v="North America"/>
    <d v="2020-03-13T00:00:00"/>
    <n v="0"/>
    <n v="0.91666666666666663"/>
    <n v="1.306392614527086E-4"/>
    <s v="Low Risk"/>
  </r>
  <r>
    <s v="Saint Vincent and the Grenadines"/>
    <x v="141"/>
    <n v="0"/>
    <x v="139"/>
    <n v="13"/>
    <n v="104000"/>
    <s v="North America"/>
    <d v="2020-03-11T00:00:00"/>
    <n v="0"/>
    <n v="0.75"/>
    <n v="5.0000000000000001E-4"/>
    <s v="Low Risk"/>
  </r>
  <r>
    <s v="San Marino"/>
    <x v="142"/>
    <n v="42"/>
    <x v="140"/>
    <n v="0"/>
    <n v="33938"/>
    <s v="Europe"/>
    <d v="2020-02-27T00:00:00"/>
    <n v="6.0085836909871244E-2"/>
    <n v="0.93991416309012876"/>
    <n v="2.0596381637102954E-2"/>
    <s v="High Risk"/>
  </r>
  <r>
    <s v="Sao Tome and Principe"/>
    <x v="143"/>
    <n v="14"/>
    <x v="141"/>
    <n v="117"/>
    <n v="219544"/>
    <s v="Africa"/>
    <d v="2020-04-06T00:00:00"/>
    <n v="1.6184971098265895E-2"/>
    <n v="0.84855491329479771"/>
    <n v="3.9399846955507781E-3"/>
    <s v="Low Risk"/>
  </r>
  <r>
    <s v="Saudi Arabia"/>
    <x v="144"/>
    <n v="2760"/>
    <x v="142"/>
    <n v="43238"/>
    <n v="34865919"/>
    <s v="Asia"/>
    <d v="2020-03-02T00:00:00"/>
    <n v="1.0262741044271086E-2"/>
    <n v="0.8289617526976879"/>
    <n v="7.7133776396371484E-3"/>
    <s v="Low Risk"/>
  </r>
  <r>
    <s v="Senegal"/>
    <x v="145"/>
    <n v="194"/>
    <x v="143"/>
    <n v="3093"/>
    <n v="16783877"/>
    <s v="Africa"/>
    <d v="2020-03-02T00:00:00"/>
    <n v="1.9868906185989348E-2"/>
    <n v="0.66335518230233514"/>
    <n v="5.8174878188156404E-4"/>
    <s v="Low Risk"/>
  </r>
  <r>
    <s v="Serbia"/>
    <x v="146"/>
    <n v="543"/>
    <x v="32"/>
    <n v="23598"/>
    <n v="8733665"/>
    <s v="Europe"/>
    <d v="2020-03-06T00:00:00"/>
    <n v="2.2492854479930408E-2"/>
    <n v="0"/>
    <n v="2.7641316675187334E-3"/>
    <s v="Modrate Risk"/>
  </r>
  <r>
    <s v="Seychelles"/>
    <x v="147"/>
    <n v="0"/>
    <x v="139"/>
    <n v="75"/>
    <n v="98408"/>
    <s v="Africa"/>
    <d v="2020-03-14T00:00:00"/>
    <n v="0"/>
    <n v="0.34210526315789475"/>
    <n v="1.158442403056662E-3"/>
    <s v="Low Risk"/>
  </r>
  <r>
    <s v="Sierra Leone"/>
    <x v="148"/>
    <n v="66"/>
    <x v="144"/>
    <n v="400"/>
    <n v="7992169"/>
    <s v="Africa"/>
    <d v="2020-03-31T00:00:00"/>
    <n v="3.7016264722378012E-2"/>
    <n v="0.73864273696017946"/>
    <n v="2.230933805328691E-4"/>
    <s v="Modrate Risk"/>
  </r>
  <r>
    <s v="Singapore"/>
    <x v="149"/>
    <n v="27"/>
    <x v="145"/>
    <n v="5119"/>
    <n v="5854932"/>
    <s v="Asia"/>
    <d v="2020-01-23T00:00:00"/>
    <n v="5.3109878437389356E-4"/>
    <n v="0.89877650576340529"/>
    <n v="8.6829360272672688E-3"/>
    <s v="Low Risk"/>
  </r>
  <r>
    <s v="Slovakia"/>
    <x v="150"/>
    <n v="28"/>
    <x v="146"/>
    <n v="537"/>
    <n v="5459915"/>
    <s v="Europe"/>
    <d v="2020-03-06T00:00:00"/>
    <n v="1.2838147638697846E-2"/>
    <n v="0.74094452086198992"/>
    <n v="3.994567680998697E-4"/>
    <s v="Low Risk"/>
  </r>
  <r>
    <s v="Slovenia"/>
    <x v="151"/>
    <n v="116"/>
    <x v="147"/>
    <n v="238"/>
    <n v="2078968"/>
    <s v="Europe"/>
    <d v="2020-03-04T00:00:00"/>
    <n v="5.558217537134643E-2"/>
    <n v="0.83037853378054627"/>
    <n v="1.0038634553297598E-3"/>
    <s v="High Risk"/>
  </r>
  <r>
    <s v="Somalia"/>
    <x v="152"/>
    <n v="93"/>
    <x v="148"/>
    <n v="1560"/>
    <n v="15933012"/>
    <s v="Africa"/>
    <d v="2020-03-16T00:00:00"/>
    <n v="2.9098873591989989E-2"/>
    <n v="0.48279098873591991"/>
    <n v="2.0058981942648382E-4"/>
    <s v="Modrate Risk"/>
  </r>
  <r>
    <s v="South Africa"/>
    <x v="153"/>
    <n v="7067"/>
    <x v="149"/>
    <n v="170537"/>
    <n v="59381566"/>
    <s v="Africa"/>
    <d v="2020-03-05T00:00:00"/>
    <n v="1.5616678710093718E-2"/>
    <n v="0.60753012514115112"/>
    <n v="7.6206983157028904E-3"/>
    <s v="Low Risk"/>
  </r>
  <r>
    <s v="South Korea"/>
    <x v="154"/>
    <n v="300"/>
    <x v="150"/>
    <n v="896"/>
    <n v="51273732"/>
    <s v="Asia"/>
    <d v="2020-01-20T00:00:00"/>
    <n v="2.1122298106033936E-2"/>
    <n v="0.91579243821727807"/>
    <n v="2.7700343715959667E-4"/>
    <s v="Modrate Risk"/>
  </r>
  <r>
    <s v="South Sudan"/>
    <x v="155"/>
    <n v="46"/>
    <x v="151"/>
    <n v="1084"/>
    <n v="11206572"/>
    <s v="Africa"/>
    <d v="2020-04-05T00:00:00"/>
    <n v="1.9956616052060738E-2"/>
    <n v="0.50976138828633411"/>
    <n v="2.0568287965311784E-4"/>
    <s v="Low Risk"/>
  </r>
  <r>
    <s v="Spain"/>
    <x v="156"/>
    <n v="28432"/>
    <x v="152"/>
    <n v="93613"/>
    <n v="46756648"/>
    <s v="Europe"/>
    <d v="2020-01-31T00:00:00"/>
    <n v="0.10436787178668311"/>
    <n v="0.55199856105072664"/>
    <n v="5.8263586388827534E-3"/>
    <s v="High Risk"/>
  </r>
  <r>
    <s v="Sri Lanka"/>
    <x v="157"/>
    <n v="11"/>
    <x v="153"/>
    <n v="673"/>
    <n v="21422362"/>
    <s v="Asia"/>
    <d v="2020-01-27T00:00:00"/>
    <n v="3.9215686274509803E-3"/>
    <n v="0.75614973262032081"/>
    <n v="1.3093794232400704E-4"/>
    <s v="Low Risk"/>
  </r>
  <r>
    <s v="Sudan"/>
    <x v="158"/>
    <n v="720"/>
    <x v="154"/>
    <n v="4765"/>
    <n v="43943536"/>
    <s v="Africa"/>
    <d v="2020-03-13T00:00:00"/>
    <n v="6.3025210084033612E-2"/>
    <n v="0.51987044817927175"/>
    <n v="2.5996997601649536E-4"/>
    <s v="High Risk"/>
  </r>
  <r>
    <s v="Suriname"/>
    <x v="159"/>
    <n v="24"/>
    <x v="155"/>
    <n v="534"/>
    <n v="587154"/>
    <s v="South America"/>
    <d v="2020-03-13T00:00:00"/>
    <n v="1.6183412002697236E-2"/>
    <n v="0.62373567093728932"/>
    <n v="2.5257428204525558E-3"/>
    <s v="Low Risk"/>
  </r>
  <r>
    <s v="Sweden"/>
    <x v="160"/>
    <n v="5700"/>
    <x v="32"/>
    <n v="73695"/>
    <n v="10105596"/>
    <s v="Europe"/>
    <d v="2020-01-31T00:00:00"/>
    <n v="7.1792934063857922E-2"/>
    <n v="0"/>
    <n v="7.8565381002763217E-3"/>
    <s v="High Risk"/>
  </r>
  <r>
    <s v="Switzerland"/>
    <x v="161"/>
    <n v="1978"/>
    <x v="156"/>
    <n v="1599"/>
    <n v="8660952"/>
    <s v="Europe"/>
    <d v="2020-02-25T00:00:00"/>
    <n v="5.7371581054036024E-2"/>
    <n v="0.89624967369550712"/>
    <n v="3.9807402234765879E-3"/>
    <s v="High Risk"/>
  </r>
  <r>
    <s v="Syria"/>
    <x v="162"/>
    <n v="40"/>
    <x v="32"/>
    <n v="634"/>
    <n v="17539600"/>
    <s v="Asia"/>
    <d v="2020-03-22T00:00:00"/>
    <n v="5.9347181008902079E-2"/>
    <n v="0"/>
    <n v="3.8427330155761816E-5"/>
    <s v="High Risk"/>
  </r>
  <r>
    <s v="Taiwan"/>
    <x v="163"/>
    <n v="7"/>
    <x v="157"/>
    <n v="15"/>
    <n v="23821199"/>
    <s v="Asia"/>
    <d v="2020-01-21T00:00:00"/>
    <n v="1.5151515151515152E-2"/>
    <n v="0.95238095238095233"/>
    <n v="1.9394489756791838E-5"/>
    <s v="Low Risk"/>
  </r>
  <r>
    <s v="Tajikistan"/>
    <x v="164"/>
    <n v="60"/>
    <x v="158"/>
    <n v="1147"/>
    <n v="9557468"/>
    <s v="Asia"/>
    <d v="2020-04-30T00:00:00"/>
    <n v="8.2930200414651004E-3"/>
    <n v="0.83317208016586042"/>
    <n v="7.569996572313922E-4"/>
    <s v="Low Risk"/>
  </r>
  <r>
    <s v="Tanzania"/>
    <x v="165"/>
    <n v="21"/>
    <x v="159"/>
    <n v="305"/>
    <n v="59886383"/>
    <s v="Africa"/>
    <d v="2020-03-16T00:00:00"/>
    <n v="4.1257367387033402E-2"/>
    <n v="0.35952848722986247"/>
    <n v="8.4994279918358071E-6"/>
    <s v="Modrate Risk"/>
  </r>
  <r>
    <s v="Thailand"/>
    <x v="166"/>
    <n v="58"/>
    <x v="160"/>
    <n v="128"/>
    <n v="69817894"/>
    <s v="Asia"/>
    <d v="2020-01-13T00:00:00"/>
    <n v="1.7591750075826508E-2"/>
    <n v="0.94358507734303909"/>
    <n v="4.7222850921283877E-5"/>
    <s v="Low Risk"/>
  </r>
  <r>
    <s v="Timor-Leste"/>
    <x v="140"/>
    <n v="0"/>
    <x v="32"/>
    <n v="24"/>
    <n v="1320812"/>
    <s v="Asia"/>
    <d v="2020-03-21T00:00:00"/>
    <n v="0"/>
    <n v="0"/>
    <n v="1.8170640484792688E-5"/>
    <s v="Low Risk"/>
  </r>
  <r>
    <s v="Togo"/>
    <x v="167"/>
    <n v="18"/>
    <x v="161"/>
    <n v="249"/>
    <n v="8296582"/>
    <s v="Africa"/>
    <d v="2020-03-06T00:00:00"/>
    <n v="2.0594965675057208E-2"/>
    <n v="0.69450800915331812"/>
    <n v="1.0534458648151732E-4"/>
    <s v="Modrate Risk"/>
  </r>
  <r>
    <s v="Trinidad and Tobago"/>
    <x v="168"/>
    <n v="8"/>
    <x v="95"/>
    <n v="12"/>
    <n v="1399950"/>
    <s v="North America"/>
    <d v="2020-03-12T00:00:00"/>
    <n v="5.4054054054054057E-2"/>
    <n v="0.86486486486486491"/>
    <n v="1.0571806135933426E-4"/>
    <s v="High Risk"/>
  </r>
  <r>
    <s v="Tunisia"/>
    <x v="169"/>
    <n v="50"/>
    <x v="162"/>
    <n v="248"/>
    <n v="11830801"/>
    <s v="Africa"/>
    <d v="2020-03-02T00:00:00"/>
    <n v="3.4364261168384883E-2"/>
    <n v="0.79518900343642607"/>
    <n v="1.2298406506879795E-4"/>
    <s v="Modrate Risk"/>
  </r>
  <r>
    <s v="Turkey"/>
    <x v="170"/>
    <n v="5630"/>
    <x v="163"/>
    <n v="10920"/>
    <n v="84428331"/>
    <s v="Asia"/>
    <d v="2020-03-11T00:00:00"/>
    <n v="2.4799686369863315E-2"/>
    <n v="0.92709861289143203"/>
    <n v="2.6888959820844972E-3"/>
    <s v="Modrate Risk"/>
  </r>
  <r>
    <s v="US"/>
    <x v="171"/>
    <n v="148011"/>
    <x v="164"/>
    <n v="2816444"/>
    <n v="331198130"/>
    <s v="North America"/>
    <d v="2020-01-21T00:00:00"/>
    <n v="3.4499315775574385E-2"/>
    <n v="0.30902656459668287"/>
    <n v="1.2953753694201112E-2"/>
    <s v="Modrate Risk"/>
  </r>
  <r>
    <s v="Uganda"/>
    <x v="172"/>
    <n v="2"/>
    <x v="165"/>
    <n v="140"/>
    <n v="45867852"/>
    <s v="Africa"/>
    <d v="2020-03-22T00:00:00"/>
    <n v="1.7730496453900709E-3"/>
    <n v="0.87411347517730498"/>
    <n v="2.4592387714166339E-5"/>
    <s v="Low Risk"/>
  </r>
  <r>
    <s v="Ukraine"/>
    <x v="173"/>
    <n v="1636"/>
    <x v="166"/>
    <n v="28258"/>
    <n v="43705858"/>
    <s v="Europe"/>
    <d v="2020-03-03T00:00:00"/>
    <n v="2.4382973649695959E-2"/>
    <n v="0.55445928222248719"/>
    <n v="1.5351717840661086E-3"/>
    <s v="Modrate Risk"/>
  </r>
  <r>
    <s v="United Arab Emirates"/>
    <x v="174"/>
    <n v="345"/>
    <x v="167"/>
    <n v="6322"/>
    <n v="9902079"/>
    <s v="Asia"/>
    <d v="2020-01-29T00:00:00"/>
    <n v="5.8299677239468037E-3"/>
    <n v="0.88733798604187442"/>
    <n v="5.9762197413290681E-3"/>
    <s v="Low Risk"/>
  </r>
  <r>
    <s v="United Kingdom"/>
    <x v="175"/>
    <n v="45844"/>
    <x v="168"/>
    <n v="254427"/>
    <n v="67922029"/>
    <s v="Europe"/>
    <d v="2020-01-31T00:00:00"/>
    <n v="0.15194824134593712"/>
    <n v="4.7628833176448756E-3"/>
    <n v="4.4419756659507328E-3"/>
    <s v="High Risk"/>
  </r>
  <r>
    <s v="Uruguay"/>
    <x v="176"/>
    <n v="35"/>
    <x v="169"/>
    <n v="216"/>
    <n v="3474956"/>
    <s v="South America"/>
    <d v="2020-03-13T00:00:00"/>
    <n v="2.9118136439267885E-2"/>
    <n v="0.79118136439267883"/>
    <n v="3.4590366036289381E-4"/>
    <s v="Modrate Risk"/>
  </r>
  <r>
    <s v="Uzbekistan"/>
    <x v="177"/>
    <n v="121"/>
    <x v="170"/>
    <n v="9414"/>
    <n v="33516027"/>
    <s v="Asia"/>
    <d v="2020-03-15T00:00:00"/>
    <n v="5.7051251827054551E-3"/>
    <n v="0.55042670564383045"/>
    <n v="6.3280173392866643E-4"/>
    <s v="Low Risk"/>
  </r>
  <r>
    <s v="Venezuela"/>
    <x v="178"/>
    <n v="146"/>
    <x v="171"/>
    <n v="5883"/>
    <n v="28427499"/>
    <s v="South America"/>
    <d v="2020-03-13T00:00:00"/>
    <n v="9.1318488866649981E-3"/>
    <n v="0.62290467850888165"/>
    <n v="5.624131760588577E-4"/>
    <s v="Low Risk"/>
  </r>
  <r>
    <s v="Vietnam"/>
    <x v="179"/>
    <n v="0"/>
    <x v="172"/>
    <n v="66"/>
    <n v="97425470"/>
    <s v="Asia"/>
    <d v="2020-01-23T00:00:00"/>
    <n v="0"/>
    <n v="0.84686774941995357"/>
    <n v="4.4238944908348918E-6"/>
    <s v="Low Risk"/>
  </r>
  <r>
    <s v="West Bank and Gaza"/>
    <x v="25"/>
    <n v="78"/>
    <x v="173"/>
    <n v="6791"/>
    <n v="4800000"/>
    <s v="Asia"/>
    <d v="2020-03-05T00:00:00"/>
    <n v="7.3439412484700125E-3"/>
    <n v="0.35326240466999342"/>
    <n v="2.2127083333333335E-3"/>
    <s v="Low Risk"/>
  </r>
  <r>
    <s v="Western Sahara"/>
    <x v="180"/>
    <n v="1"/>
    <x v="174"/>
    <n v="1"/>
    <n v="598682"/>
    <s v="Africa"/>
    <d v="2020-04-04T00:00:00"/>
    <n v="0.1"/>
    <n v="0.8"/>
    <n v="1.6703358377235327E-5"/>
    <s v="High Risk"/>
  </r>
  <r>
    <s v="Yemen"/>
    <x v="181"/>
    <n v="483"/>
    <x v="175"/>
    <n v="375"/>
    <n v="29886897"/>
    <s v="Asia"/>
    <d v="2020-04-10T00:00:00"/>
    <n v="0.28562980484920164"/>
    <n v="0.49260792430514488"/>
    <n v="5.6579978844909859E-5"/>
    <s v="High Risk"/>
  </r>
  <r>
    <s v="Zambia"/>
    <x v="182"/>
    <n v="140"/>
    <x v="176"/>
    <n v="1597"/>
    <n v="18430129"/>
    <s v="Africa"/>
    <d v="2020-03-18T00:00:00"/>
    <n v="3.0755711775043937E-2"/>
    <n v="0.61840949033391912"/>
    <n v="2.4698687676033088E-4"/>
    <s v="Modrate Risk"/>
  </r>
  <r>
    <s v="Zimbabwe"/>
    <x v="183"/>
    <n v="36"/>
    <x v="177"/>
    <n v="2126"/>
    <n v="14883803"/>
    <s v="Africa"/>
    <d v="2020-03-21T00:00:00"/>
    <n v="1.3313609467455622E-2"/>
    <n v="0.20044378698224852"/>
    <n v="1.8167399823821909E-4"/>
    <s v="Low Risk"/>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n v="36263"/>
    <n v="1269"/>
    <n v="25198"/>
    <n v="9796"/>
    <n v="39009447"/>
    <s v="Asia"/>
    <d v="2020-02-24T00:00:00"/>
    <n v="3.4994346854920991E-2"/>
    <n v="0.69486804732096075"/>
    <n v="9.2959533622714516E-4"/>
    <s v="Modrate Risk"/>
  </r>
  <r>
    <x v="1"/>
    <n v="4880"/>
    <n v="144"/>
    <n v="2745"/>
    <n v="1991"/>
    <n v="2877470"/>
    <s v="Europe"/>
    <d v="2020-03-09T00:00:00"/>
    <n v="2.9508196721311476E-2"/>
    <n v="0.5625"/>
    <n v="1.6959342755962703E-3"/>
    <s v="Modrate Risk"/>
  </r>
  <r>
    <x v="2"/>
    <n v="27973"/>
    <n v="1163"/>
    <n v="18837"/>
    <n v="7973"/>
    <n v="43926079"/>
    <s v="Africa"/>
    <d v="2020-02-25T00:00:00"/>
    <n v="4.1575805240767885E-2"/>
    <n v="0.67339934937260926"/>
    <n v="6.3681987185790017E-4"/>
    <s v="Modrate Risk"/>
  </r>
  <r>
    <x v="3"/>
    <n v="907"/>
    <n v="52"/>
    <n v="803"/>
    <n v="52"/>
    <n v="77278"/>
    <s v="Europe"/>
    <d v="2020-03-02T00:00:00"/>
    <n v="5.7331863285556783E-2"/>
    <n v="0.88533627342888643"/>
    <n v="1.1736846191671627E-2"/>
    <s v="High Risk"/>
  </r>
  <r>
    <x v="4"/>
    <n v="950"/>
    <n v="41"/>
    <n v="242"/>
    <n v="667"/>
    <n v="32956300"/>
    <s v="Africa"/>
    <d v="2020-03-21T00:00:00"/>
    <n v="4.3157894736842103E-2"/>
    <n v="0.25473684210526315"/>
    <n v="2.8826051468156317E-5"/>
    <s v="Modrate Risk"/>
  </r>
  <r>
    <x v="5"/>
    <n v="86"/>
    <n v="3"/>
    <n v="65"/>
    <n v="18"/>
    <n v="98010"/>
    <s v="North America"/>
    <d v="2020-03-13T00:00:00"/>
    <n v="3.4883720930232558E-2"/>
    <n v="0.7558139534883721"/>
    <n v="8.7746148352208962E-4"/>
    <s v="Modrate Risk"/>
  </r>
  <r>
    <x v="6"/>
    <n v="167416"/>
    <n v="3059"/>
    <n v="72575"/>
    <n v="91782"/>
    <n v="45236884"/>
    <s v="South America"/>
    <d v="2020-03-03T00:00:00"/>
    <n v="1.8271849763463469E-2"/>
    <n v="0.43350097959573758"/>
    <n v="3.7008738267649026E-3"/>
    <s v="Low Risk"/>
  </r>
  <r>
    <x v="7"/>
    <n v="37390"/>
    <n v="711"/>
    <n v="26665"/>
    <n v="10014"/>
    <n v="2963811"/>
    <s v="Asia"/>
    <d v="2020-03-01T00:00:00"/>
    <n v="1.901577962021931E-2"/>
    <n v="0.71315859855576358"/>
    <n v="1.2615514282118529E-2"/>
    <s v="Low Risk"/>
  </r>
  <r>
    <x v="8"/>
    <n v="15303"/>
    <n v="167"/>
    <n v="9311"/>
    <n v="5825"/>
    <n v="25528864"/>
    <s v="Australia/Oceania"/>
    <d v="2020-01-25T00:00:00"/>
    <n v="1.0912892896817617E-2"/>
    <n v="0.60844278899562176"/>
    <n v="5.9943912897965216E-4"/>
    <s v="Low Risk"/>
  </r>
  <r>
    <x v="9"/>
    <n v="20558"/>
    <n v="713"/>
    <n v="18246"/>
    <n v="1599"/>
    <n v="9011577"/>
    <s v="Europe"/>
    <d v="2020-02-25T00:00:00"/>
    <n v="3.4682362097480303E-2"/>
    <n v="0.88753769821967121"/>
    <n v="2.2812877257776302E-3"/>
    <s v="Modrate Risk"/>
  </r>
  <r>
    <x v="10"/>
    <n v="30446"/>
    <n v="423"/>
    <n v="23242"/>
    <n v="6781"/>
    <n v="10148243"/>
    <s v="Asia"/>
    <d v="2020-02-28T00:00:00"/>
    <n v="1.389345069959929E-2"/>
    <n v="0.76338435262431847"/>
    <n v="3.0001252433549336E-3"/>
    <s v="Low Risk"/>
  </r>
  <r>
    <x v="11"/>
    <n v="382"/>
    <n v="11"/>
    <n v="91"/>
    <n v="280"/>
    <n v="393616"/>
    <s v="North America"/>
    <d v="2020-03-15T00:00:00"/>
    <n v="2.8795811518324606E-2"/>
    <n v="0.23821989528795812"/>
    <n v="9.7048900451201169E-4"/>
    <s v="Modrate Risk"/>
  </r>
  <r>
    <x v="12"/>
    <n v="39482"/>
    <n v="141"/>
    <n v="36110"/>
    <n v="3231"/>
    <n v="1706669"/>
    <s v="Asia"/>
    <d v="2020-02-21T00:00:00"/>
    <n v="3.5712476571602247E-3"/>
    <n v="0.91459399219897675"/>
    <n v="2.3133952746548978E-2"/>
    <s v="Low Risk"/>
  </r>
  <r>
    <x v="13"/>
    <n v="226225"/>
    <n v="2965"/>
    <n v="125683"/>
    <n v="97577"/>
    <n v="164851401"/>
    <s v="Asia"/>
    <d v="2020-03-08T00:00:00"/>
    <n v="1.3106420598961211E-2"/>
    <n v="0.55556636092385903"/>
    <n v="1.3722964962851604E-3"/>
    <s v="Low Risk"/>
  </r>
  <r>
    <x v="14"/>
    <n v="110"/>
    <n v="7"/>
    <n v="94"/>
    <n v="9"/>
    <n v="287411"/>
    <s v="North America"/>
    <d v="2020-03-17T00:00:00"/>
    <n v="6.363636363636363E-2"/>
    <n v="0.8545454545454545"/>
    <n v="3.8272717467320317E-4"/>
    <s v="High Risk"/>
  </r>
  <r>
    <x v="15"/>
    <n v="67251"/>
    <n v="538"/>
    <n v="60492"/>
    <n v="6221"/>
    <n v="9449001"/>
    <s v="Europe"/>
    <d v="2020-02-28T00:00:00"/>
    <n v="7.9998810426610764E-3"/>
    <n v="0.89949591827630815"/>
    <n v="7.1172603326002401E-3"/>
    <s v="Low Risk"/>
  </r>
  <r>
    <x v="16"/>
    <n v="66428"/>
    <n v="9822"/>
    <n v="17452"/>
    <n v="39154"/>
    <n v="11594739"/>
    <s v="Europe"/>
    <d v="2020-02-04T00:00:00"/>
    <n v="0.14785933642439936"/>
    <n v="0.26272053953152286"/>
    <n v="5.7291500912612179E-3"/>
    <s v="High Risk"/>
  </r>
  <r>
    <x v="17"/>
    <n v="48"/>
    <n v="2"/>
    <n v="26"/>
    <n v="20"/>
    <n v="398312"/>
    <s v="North America"/>
    <d v="2020-03-23T00:00:00"/>
    <n v="4.1666666666666664E-2"/>
    <n v="0.54166666666666663"/>
    <n v="1.2050854606439174E-4"/>
    <s v="Modrate Risk"/>
  </r>
  <r>
    <x v="18"/>
    <n v="1770"/>
    <n v="35"/>
    <n v="1036"/>
    <n v="699"/>
    <n v="12151976"/>
    <s v="Africa"/>
    <d v="2020-03-16T00:00:00"/>
    <n v="1.977401129943503E-2"/>
    <n v="0.58531073446327686"/>
    <n v="1.4565532387489903E-4"/>
    <s v="Low Risk"/>
  </r>
  <r>
    <x v="19"/>
    <n v="99"/>
    <n v="0"/>
    <n v="86"/>
    <n v="13"/>
    <n v="772443"/>
    <s v="Asia"/>
    <d v="2020-03-06T00:00:00"/>
    <n v="0"/>
    <n v="0.86868686868686873"/>
    <n v="1.2816479662577045E-4"/>
    <s v="Low Risk"/>
  </r>
  <r>
    <x v="20"/>
    <n v="71181"/>
    <n v="2647"/>
    <n v="21478"/>
    <n v="47056"/>
    <n v="11688459"/>
    <s v="South America"/>
    <d v="2020-03-10T00:00:00"/>
    <n v="3.7186889759907839E-2"/>
    <n v="0.30173782329554233"/>
    <n v="6.0898532475495704E-3"/>
    <s v="Modrate Risk"/>
  </r>
  <r>
    <x v="21"/>
    <n v="10498"/>
    <n v="294"/>
    <n v="4930"/>
    <n v="5274"/>
    <n v="3278650"/>
    <s v="Europe"/>
    <d v="2020-03-05T00:00:00"/>
    <n v="2.8005334349399887E-2"/>
    <n v="0.46961325966850831"/>
    <n v="3.2019276226495663E-3"/>
    <s v="Modrate Risk"/>
  </r>
  <r>
    <x v="22"/>
    <n v="739"/>
    <n v="2"/>
    <n v="63"/>
    <n v="674"/>
    <n v="2356075"/>
    <s v="Africa"/>
    <d v="2020-03-30T00:00:00"/>
    <n v="2.7063599458728013E-3"/>
    <n v="8.5250338294993233E-2"/>
    <n v="3.1365724775314879E-4"/>
    <s v="Low Risk"/>
  </r>
  <r>
    <x v="23"/>
    <n v="2442375"/>
    <n v="87618"/>
    <n v="1846641"/>
    <n v="508116"/>
    <n v="212710692"/>
    <s v="South America"/>
    <d v="2020-02-26T00:00:00"/>
    <n v="3.5874097957930291E-2"/>
    <n v="0.75608413941348074"/>
    <n v="1.1482144959596107E-2"/>
    <s v="Modrate Risk"/>
  </r>
  <r>
    <x v="24"/>
    <n v="141"/>
    <n v="3"/>
    <n v="138"/>
    <n v="0"/>
    <n v="437893"/>
    <s v="Asia"/>
    <d v="2020-03-09T00:00:00"/>
    <n v="2.1276595744680851E-2"/>
    <n v="0.97872340425531912"/>
    <n v="3.2199646945715047E-4"/>
    <s v="Modrate Risk"/>
  </r>
  <r>
    <x v="25"/>
    <n v="10621"/>
    <n v="347"/>
    <n v="5585"/>
    <n v="4689"/>
    <n v="6942854"/>
    <s v="Europe"/>
    <d v="2020-03-08T00:00:00"/>
    <n v="3.2671123246398641E-2"/>
    <n v="0.52584502400903865"/>
    <n v="1.5297743550418891E-3"/>
    <s v="Modrate Risk"/>
  </r>
  <r>
    <x v="26"/>
    <n v="1100"/>
    <n v="53"/>
    <n v="926"/>
    <n v="121"/>
    <n v="20954852"/>
    <s v="Africa"/>
    <d v="2020-03-09T00:00:00"/>
    <n v="4.818181818181818E-2"/>
    <n v="0.8418181818181818"/>
    <n v="5.2493809071044739E-5"/>
    <s v="Modrate Risk"/>
  </r>
  <r>
    <x v="27"/>
    <n v="350"/>
    <n v="6"/>
    <n v="292"/>
    <n v="52"/>
    <n v="54446389"/>
    <s v="Asia"/>
    <d v="2020-03-23T00:00:00"/>
    <n v="1.7142857142857144E-2"/>
    <n v="0.8342857142857143"/>
    <n v="6.4283418318155129E-6"/>
    <s v="Low Risk"/>
  </r>
  <r>
    <x v="28"/>
    <n v="378"/>
    <n v="1"/>
    <n v="301"/>
    <n v="76"/>
    <n v="11922216"/>
    <s v="Africa"/>
    <d v="2020-03-31T00:00:00"/>
    <n v="2.6455026455026454E-3"/>
    <n v="0.79629629629629628"/>
    <n v="3.1705515149197092E-5"/>
    <s v="Low Risk"/>
  </r>
  <r>
    <x v="29"/>
    <n v="2328"/>
    <n v="22"/>
    <n v="1550"/>
    <n v="756"/>
    <n v="556581"/>
    <s v="Africa"/>
    <d v="2020-03-20T00:00:00"/>
    <n v="9.4501718213058413E-3"/>
    <n v="0.66580756013745701"/>
    <n v="4.1826796099759065E-3"/>
    <s v="Low Risk"/>
  </r>
  <r>
    <x v="30"/>
    <n v="226"/>
    <n v="0"/>
    <n v="147"/>
    <n v="79"/>
    <n v="16741375"/>
    <s v="Asia"/>
    <d v="2020-01-27T00:00:00"/>
    <n v="0"/>
    <n v="0.65044247787610621"/>
    <n v="1.349948854260776E-5"/>
    <s v="Low Risk"/>
  </r>
  <r>
    <x v="31"/>
    <n v="17110"/>
    <n v="391"/>
    <n v="14539"/>
    <n v="2180"/>
    <n v="26606188"/>
    <s v="Africa"/>
    <d v="2020-03-06T00:00:00"/>
    <n v="2.2852133255406196E-2"/>
    <n v="0.84973699590882523"/>
    <n v="6.4308348118114476E-4"/>
    <s v="Modrate Risk"/>
  </r>
  <r>
    <x v="32"/>
    <n v="116458"/>
    <n v="8944"/>
    <n v="0"/>
    <n v="107514"/>
    <n v="37775022"/>
    <s v="North America"/>
    <d v="2020-01-25T00:00:00"/>
    <n v="7.6800219821738305E-2"/>
    <n v="0"/>
    <n v="3.0829366558674672E-3"/>
    <s v="High Risk"/>
  </r>
  <r>
    <x v="33"/>
    <n v="4599"/>
    <n v="59"/>
    <n v="1546"/>
    <n v="2994"/>
    <n v="4837752"/>
    <s v="Africa"/>
    <d v="2020-03-14T00:00:00"/>
    <n v="1.2828875842574472E-2"/>
    <n v="0.33616003479017176"/>
    <n v="9.5064815228229974E-4"/>
    <s v="Low Risk"/>
  </r>
  <r>
    <x v="34"/>
    <n v="922"/>
    <n v="75"/>
    <n v="810"/>
    <n v="37"/>
    <n v="17224679"/>
    <s v="Africa"/>
    <d v="2020-03-19T00:00:00"/>
    <n v="8.1344902386117135E-2"/>
    <n v="0.87852494577006512"/>
    <n v="5.3527848037110008E-5"/>
    <s v="High Risk"/>
  </r>
  <r>
    <x v="35"/>
    <n v="347923"/>
    <n v="9187"/>
    <n v="319954"/>
    <n v="18782"/>
    <n v="19132514"/>
    <s v="South America"/>
    <d v="2020-03-03T00:00:00"/>
    <n v="2.6405267832250241E-2"/>
    <n v="0.91961152323933748"/>
    <n v="1.8184907639424697E-2"/>
    <s v="Modrate Risk"/>
  </r>
  <r>
    <x v="36"/>
    <n v="86783"/>
    <n v="4656"/>
    <n v="78869"/>
    <n v="3258"/>
    <n v="1411778724"/>
    <s v="Africa"/>
    <d v="2019-11-17T00:00:00"/>
    <n v="5.365106069161011E-2"/>
    <n v="0.90880702441722461"/>
    <n v="6.1470681293536756E-5"/>
    <s v="High Risk"/>
  </r>
  <r>
    <x v="37"/>
    <n v="257101"/>
    <n v="8777"/>
    <n v="131161"/>
    <n v="117163"/>
    <n v="50936262"/>
    <s v="South America"/>
    <d v="2020-03-06T00:00:00"/>
    <n v="3.4138334740043796E-2"/>
    <n v="0.51015359722443709"/>
    <n v="5.0475042711222119E-3"/>
    <s v="Modrate Risk"/>
  </r>
  <r>
    <x v="38"/>
    <n v="354"/>
    <n v="7"/>
    <n v="328"/>
    <n v="19"/>
    <n v="871326"/>
    <s v="Africa"/>
    <d v="2020-04-30T00:00:00"/>
    <n v="1.977401129943503E-2"/>
    <n v="0.92655367231638419"/>
    <n v="4.0627732903643414E-4"/>
    <s v="Low Risk"/>
  </r>
  <r>
    <x v="39"/>
    <n v="3200"/>
    <n v="54"/>
    <n v="829"/>
    <n v="2317"/>
    <n v="5530506"/>
    <s v="Africa"/>
    <d v="2020-03-14T00:00:00"/>
    <n v="1.6875000000000001E-2"/>
    <n v="0.25906249999999997"/>
    <n v="5.7860890124701071E-4"/>
    <s v="Low Risk"/>
  </r>
  <r>
    <x v="40"/>
    <n v="8844"/>
    <n v="208"/>
    <n v="5700"/>
    <n v="2936"/>
    <n v="96076573"/>
    <s v="Africa"/>
    <d v="2020-03-10T00:00:00"/>
    <n v="2.3518769787426504E-2"/>
    <n v="0.64450474898236088"/>
    <n v="9.2051576402501362E-5"/>
    <s v="Modrate Risk"/>
  </r>
  <r>
    <x v="41"/>
    <n v="15841"/>
    <n v="115"/>
    <n v="3824"/>
    <n v="11902"/>
    <n v="5098730"/>
    <s v="North America"/>
    <d v="2020-03-06T00:00:00"/>
    <n v="7.2596426993245377E-3"/>
    <n v="0.24139890158449592"/>
    <n v="3.1068520984637352E-3"/>
    <s v="Low Risk"/>
  </r>
  <r>
    <x v="42"/>
    <n v="15655"/>
    <n v="96"/>
    <n v="10361"/>
    <n v="5198"/>
    <n v="26172000"/>
    <s v="Africa"/>
    <d v="2020-03-11T00:00:00"/>
    <n v="6.1322261258383902E-3"/>
    <n v="0.66183328010220377"/>
    <n v="5.9815833715421058E-4"/>
    <s v="Low Risk"/>
  </r>
  <r>
    <x v="43"/>
    <n v="4881"/>
    <n v="139"/>
    <n v="3936"/>
    <n v="806"/>
    <n v="4102577"/>
    <s v="Europe"/>
    <d v="2020-02-25T00:00:00"/>
    <n v="2.8477770948576113E-2"/>
    <n v="0.80639213275968036"/>
    <n v="1.1897400097548444E-3"/>
    <s v="Modrate Risk"/>
  </r>
  <r>
    <x v="44"/>
    <n v="2532"/>
    <n v="87"/>
    <n v="2351"/>
    <n v="94"/>
    <n v="11325899"/>
    <s v="North America"/>
    <d v="2020-03-11T00:00:00"/>
    <n v="3.4360189573459717E-2"/>
    <n v="0.92851500789889418"/>
    <n v="2.2355841244920161E-4"/>
    <s v="Modrate Risk"/>
  </r>
  <r>
    <x v="45"/>
    <n v="1060"/>
    <n v="19"/>
    <n v="852"/>
    <n v="189"/>
    <n v="1208238"/>
    <s v="Asia"/>
    <d v="2020-03-09T00:00:00"/>
    <n v="1.7924528301886792E-2"/>
    <n v="0.80377358490566042"/>
    <n v="8.7731059609116749E-4"/>
    <s v="Low Risk"/>
  </r>
  <r>
    <x v="46"/>
    <n v="15516"/>
    <n v="373"/>
    <n v="11428"/>
    <n v="3715"/>
    <n v="10711019"/>
    <s v="Europe"/>
    <d v="2020-03-01T00:00:00"/>
    <n v="2.4039700953854087E-2"/>
    <n v="0.7365300335137922"/>
    <n v="1.4486016689915311E-3"/>
    <s v="Modrate Risk"/>
  </r>
  <r>
    <x v="47"/>
    <n v="13761"/>
    <n v="613"/>
    <n v="12605"/>
    <n v="543"/>
    <n v="5794279"/>
    <s v="Europe"/>
    <d v="2020-02-27T00:00:00"/>
    <n v="4.454618123682872E-2"/>
    <n v="0.91599447714555626"/>
    <n v="2.3749287875160997E-3"/>
    <s v="Modrate Risk"/>
  </r>
  <r>
    <x v="48"/>
    <n v="5059"/>
    <n v="58"/>
    <n v="4977"/>
    <n v="24"/>
    <n v="989387"/>
    <s v="Africa"/>
    <d v="2020-03-18T00:00:00"/>
    <n v="1.1464716347104172E-2"/>
    <n v="0.98379126309547338"/>
    <n v="5.1132671037723357E-3"/>
    <s v="Low Risk"/>
  </r>
  <r>
    <x v="49"/>
    <n v="18"/>
    <n v="0"/>
    <n v="18"/>
    <n v="0"/>
    <n v="72004"/>
    <s v="North America"/>
    <d v="2020-03-22T00:00:00"/>
    <n v="0"/>
    <n v="1"/>
    <n v="2.4998611188267316E-4"/>
    <s v="Low Risk"/>
  </r>
  <r>
    <x v="50"/>
    <n v="64156"/>
    <n v="1083"/>
    <n v="30204"/>
    <n v="32869"/>
    <n v="10858648"/>
    <s v="North America"/>
    <d v="2020-03-01T00:00:00"/>
    <n v="1.688072822495168E-2"/>
    <n v="0.47078994949809838"/>
    <n v="5.9082861881147638E-3"/>
    <s v="Low Risk"/>
  </r>
  <r>
    <x v="51"/>
    <n v="81161"/>
    <n v="5532"/>
    <n v="34896"/>
    <n v="40733"/>
    <n v="17668824"/>
    <s v="South America"/>
    <d v="2020-02-29T00:00:00"/>
    <n v="6.8160816155542689E-2"/>
    <n v="0.42996020256034301"/>
    <n v="4.5934579460410038E-3"/>
    <s v="High Risk"/>
  </r>
  <r>
    <x v="52"/>
    <n v="92482"/>
    <n v="4652"/>
    <n v="34838"/>
    <n v="52992"/>
    <n v="102516525"/>
    <s v="Africa"/>
    <d v="2020-02-14T00:00:00"/>
    <n v="5.0301680326982547E-2"/>
    <n v="0.37670033087519733"/>
    <n v="9.0211797561417541E-4"/>
    <s v="High Risk"/>
  </r>
  <r>
    <x v="53"/>
    <n v="15035"/>
    <n v="408"/>
    <n v="7778"/>
    <n v="6849"/>
    <n v="6489514"/>
    <s v="North America"/>
    <d v="2020-03-19T00:00:00"/>
    <n v="2.7136681077485868E-2"/>
    <n v="0.51732623877618888"/>
    <n v="2.3168144794818227E-3"/>
    <s v="Modrate Risk"/>
  </r>
  <r>
    <x v="54"/>
    <n v="3071"/>
    <n v="51"/>
    <n v="842"/>
    <n v="2178"/>
    <n v="1407001"/>
    <s v="Africa"/>
    <d v="2020-03-14T00:00:00"/>
    <n v="1.6606968414197329E-2"/>
    <n v="0.27417779225008143"/>
    <n v="2.1826565865980196E-3"/>
    <s v="Low Risk"/>
  </r>
  <r>
    <x v="55"/>
    <n v="265"/>
    <n v="0"/>
    <n v="191"/>
    <n v="74"/>
    <n v="3551175"/>
    <s v="Africa"/>
    <d v="2020-03-21T00:00:00"/>
    <n v="0"/>
    <n v="0.72075471698113203"/>
    <n v="7.4623188099713479E-5"/>
    <s v="Low Risk"/>
  </r>
  <r>
    <x v="56"/>
    <n v="2034"/>
    <n v="69"/>
    <n v="1923"/>
    <n v="42"/>
    <n v="1326627"/>
    <s v="Europe"/>
    <d v="2020-02-27T00:00:00"/>
    <n v="3.3923303834808259E-2"/>
    <n v="0.94542772861356927"/>
    <n v="1.5332116714042456E-3"/>
    <s v="Modrate Risk"/>
  </r>
  <r>
    <x v="57"/>
    <n v="2316"/>
    <n v="34"/>
    <n v="1025"/>
    <n v="1257"/>
    <n v="1161348"/>
    <s v="Africa"/>
    <d v="2020-03-14T00:00:00"/>
    <n v="1.468048359240069E-2"/>
    <n v="0.442573402417962"/>
    <n v="1.9942342863637774E-3"/>
    <s v="Low Risk"/>
  </r>
  <r>
    <x v="58"/>
    <n v="14547"/>
    <n v="228"/>
    <n v="6386"/>
    <n v="7933"/>
    <n v="115223736"/>
    <s v="Africa"/>
    <d v="2020-03-13T00:00:00"/>
    <n v="1.5673334708187256E-2"/>
    <n v="0.43899085722142023"/>
    <n v="1.2625002890029533E-4"/>
    <s v="Low Risk"/>
  </r>
  <r>
    <x v="59"/>
    <n v="27"/>
    <n v="0"/>
    <n v="18"/>
    <n v="9"/>
    <n v="897095"/>
    <s v="Australia/Oceania"/>
    <d v="2020-03-19T00:00:00"/>
    <n v="0"/>
    <n v="0.66666666666666663"/>
    <n v="3.0097146901944609E-5"/>
    <s v="Low Risk"/>
  </r>
  <r>
    <x v="60"/>
    <n v="7398"/>
    <n v="329"/>
    <n v="6920"/>
    <n v="149"/>
    <n v="5541604"/>
    <s v="Europe"/>
    <d v="2020-02-26T00:00:00"/>
    <n v="4.4471478778048121E-2"/>
    <n v="0.93538794268721281"/>
    <n v="1.334992540066017E-3"/>
    <s v="Modrate Risk"/>
  </r>
  <r>
    <x v="61"/>
    <n v="220352"/>
    <n v="30212"/>
    <n v="81212"/>
    <n v="108928"/>
    <n v="65288306"/>
    <s v="Europe"/>
    <d v="2019-12-27T00:00:00"/>
    <n v="0.13710790008713331"/>
    <n v="0.36855576532094103"/>
    <n v="3.3750607650932158E-3"/>
    <s v="High Risk"/>
  </r>
  <r>
    <x v="62"/>
    <n v="7189"/>
    <n v="49"/>
    <n v="4682"/>
    <n v="2458"/>
    <n v="2230563"/>
    <s v="Africa"/>
    <d v="2020-03-12T00:00:00"/>
    <n v="6.815968841285297E-3"/>
    <n v="0.65127277785505633"/>
    <n v="3.2229531288737417E-3"/>
    <s v="Low Risk"/>
  </r>
  <r>
    <x v="63"/>
    <n v="326"/>
    <n v="8"/>
    <n v="66"/>
    <n v="252"/>
    <n v="2422754"/>
    <s v="Africa"/>
    <d v="2020-03-17T00:00:00"/>
    <n v="2.4539877300613498E-2"/>
    <n v="0.20245398773006135"/>
    <n v="1.345576150116768E-4"/>
    <s v="Modrate Risk"/>
  </r>
  <r>
    <x v="64"/>
    <n v="1137"/>
    <n v="16"/>
    <n v="922"/>
    <n v="199"/>
    <n v="3988368"/>
    <s v="Asia"/>
    <d v="2020-02-26T00:00:00"/>
    <n v="1.4072119613016711E-2"/>
    <n v="0.81090589270008795"/>
    <n v="2.8507900976038319E-4"/>
    <s v="Low Risk"/>
  </r>
  <r>
    <x v="65"/>
    <n v="207112"/>
    <n v="9125"/>
    <n v="190314"/>
    <n v="7673"/>
    <n v="83811260"/>
    <s v="Europe"/>
    <d v="2020-01-27T00:00:00"/>
    <n v="4.4058287303487965E-2"/>
    <n v="0.91889412491791878"/>
    <n v="2.4711715347078664E-3"/>
    <s v="Modrate Risk"/>
  </r>
  <r>
    <x v="66"/>
    <n v="33624"/>
    <n v="168"/>
    <n v="29801"/>
    <n v="3655"/>
    <n v="31133483"/>
    <s v="Africa"/>
    <d v="2020-03-12T00:00:00"/>
    <n v="4.9964311206281229E-3"/>
    <n v="0.88630145134427785"/>
    <n v="1.0799948081620036E-3"/>
    <s v="Low Risk"/>
  </r>
  <r>
    <x v="67"/>
    <n v="4227"/>
    <n v="202"/>
    <n v="1374"/>
    <n v="2651"/>
    <n v="10417673"/>
    <s v="Europe"/>
    <d v="2020-02-26T00:00:00"/>
    <n v="4.7788029335225926E-2"/>
    <n v="0.32505322924059615"/>
    <n v="4.0575280103339776E-4"/>
    <s v="Modrate Risk"/>
  </r>
  <r>
    <x v="68"/>
    <n v="14"/>
    <n v="0"/>
    <n v="13"/>
    <n v="1"/>
    <n v="56780"/>
    <s v="North America"/>
    <d v="2020-03-08T00:00:00"/>
    <n v="0"/>
    <n v="0.9285714285714286"/>
    <n v="2.4656569214512151E-4"/>
    <s v="Low Risk"/>
  </r>
  <r>
    <x v="69"/>
    <n v="23"/>
    <n v="0"/>
    <n v="23"/>
    <n v="0"/>
    <n v="112576"/>
    <s v="North America"/>
    <d v="2020-03-22T00:00:00"/>
    <n v="0"/>
    <n v="1"/>
    <n v="2.0430642410460489E-4"/>
    <s v="Low Risk"/>
  </r>
  <r>
    <x v="70"/>
    <n v="45309"/>
    <n v="1761"/>
    <n v="32455"/>
    <n v="11093"/>
    <n v="17946899"/>
    <s v="North America"/>
    <d v="2020-03-13T00:00:00"/>
    <n v="3.8866450374097861E-2"/>
    <n v="0.71630360414045779"/>
    <n v="2.5246144194604318E-3"/>
    <s v="Modrate Risk"/>
  </r>
  <r>
    <x v="71"/>
    <n v="7055"/>
    <n v="45"/>
    <n v="6257"/>
    <n v="753"/>
    <n v="13164905"/>
    <s v="Africa"/>
    <d v="2020-03-13T00:00:00"/>
    <n v="6.3784549964564135E-3"/>
    <n v="0.88688873139617297"/>
    <n v="5.3589448613567661E-4"/>
    <s v="Low Risk"/>
  </r>
  <r>
    <x v="72"/>
    <n v="1954"/>
    <n v="26"/>
    <n v="803"/>
    <n v="1125"/>
    <n v="1972277"/>
    <s v="Africa"/>
    <d v="2020-03-25T00:00:00"/>
    <n v="1.3306038894575231E-2"/>
    <n v="0.41095189355168882"/>
    <n v="9.907330461187754E-4"/>
    <s v="Low Risk"/>
  </r>
  <r>
    <x v="73"/>
    <n v="389"/>
    <n v="20"/>
    <n v="181"/>
    <n v="188"/>
    <n v="786936"/>
    <s v="South America"/>
    <d v="2020-03-12T00:00:00"/>
    <n v="5.1413881748071981E-2"/>
    <n v="0.4652956298200514"/>
    <n v="4.943222828794209E-4"/>
    <s v="High Risk"/>
  </r>
  <r>
    <x v="74"/>
    <n v="7340"/>
    <n v="158"/>
    <n v="4365"/>
    <n v="2817"/>
    <n v="11416103"/>
    <s v="North America"/>
    <d v="2020-03-19T00:00:00"/>
    <n v="2.1525885558583105E-2"/>
    <n v="0.59468664850136244"/>
    <n v="6.4295145199723587E-4"/>
    <s v="Modrate Risk"/>
  </r>
  <r>
    <x v="75"/>
    <n v="12"/>
    <n v="0"/>
    <n v="12"/>
    <n v="0"/>
    <n v="528"/>
    <s v="Europe"/>
    <d v="2020-03-22T00:00:00"/>
    <n v="0"/>
    <n v="1"/>
    <n v="2.2727272727272728E-2"/>
    <s v="Low Risk"/>
  </r>
  <r>
    <x v="76"/>
    <n v="39741"/>
    <n v="1166"/>
    <n v="5039"/>
    <n v="33536"/>
    <n v="10012084"/>
    <s v="North America"/>
    <d v="2020-03-17T00:00:00"/>
    <n v="2.9339976346845827E-2"/>
    <n v="0.12679600412672051"/>
    <n v="3.9693034936582631E-3"/>
    <s v="Modrate Risk"/>
  </r>
  <r>
    <x v="77"/>
    <n v="4448"/>
    <n v="596"/>
    <n v="3329"/>
    <n v="523"/>
    <n v="9657785"/>
    <s v="Europe"/>
    <d v="2020-03-04T00:00:00"/>
    <n v="0.13399280575539568"/>
    <n v="0.74842625899280579"/>
    <n v="4.6056109138896753E-4"/>
    <s v="High Risk"/>
  </r>
  <r>
    <x v="78"/>
    <n v="1854"/>
    <n v="10"/>
    <n v="1823"/>
    <n v="21"/>
    <n v="341465"/>
    <s v="Europe"/>
    <d v="2020-02-28T00:00:00"/>
    <n v="5.3937432578209281E-3"/>
    <n v="0.98327939590075508"/>
    <n v="5.4295462199639788E-3"/>
    <s v="Low Risk"/>
  </r>
  <r>
    <x v="79"/>
    <n v="1480073"/>
    <n v="33408"/>
    <n v="951166"/>
    <n v="495499"/>
    <n v="1381344997"/>
    <s v="Asia"/>
    <d v="2020-01-30T00:00:00"/>
    <n v="2.2571859631247918E-2"/>
    <n v="0.64264803154979522"/>
    <n v="1.0714723716482247E-3"/>
    <s v="Modrate Risk"/>
  </r>
  <r>
    <x v="80"/>
    <n v="100303"/>
    <n v="4838"/>
    <n v="58173"/>
    <n v="37292"/>
    <n v="273808365"/>
    <s v="Asia"/>
    <d v="2020-03-02T00:00:00"/>
    <n v="4.8233851430166598E-2"/>
    <n v="0.57997268277120329"/>
    <n v="3.6632555035343787E-4"/>
    <s v="Modrate Risk"/>
  </r>
  <r>
    <x v="81"/>
    <n v="293606"/>
    <n v="15912"/>
    <n v="255144"/>
    <n v="22550"/>
    <n v="84097623"/>
    <s v="Asia"/>
    <d v="2020-02-19T00:00:00"/>
    <n v="5.4195077757266542E-2"/>
    <n v="0.86900131468702957"/>
    <n v="3.4912520654715772E-3"/>
    <s v="High Risk"/>
  </r>
  <r>
    <x v="82"/>
    <n v="112585"/>
    <n v="4458"/>
    <n v="77144"/>
    <n v="30983"/>
    <n v="40306025"/>
    <s v="Asia"/>
    <d v="2020-02-22T00:00:00"/>
    <n v="3.9596749122884932E-2"/>
    <n v="0.68520673269085575"/>
    <n v="2.7932548545781927E-3"/>
    <s v="Modrate Risk"/>
  </r>
  <r>
    <x v="83"/>
    <n v="25892"/>
    <n v="1764"/>
    <n v="23364"/>
    <n v="764"/>
    <n v="4943200"/>
    <s v="Europe"/>
    <d v="2020-02-29T00:00:00"/>
    <n v="6.8129151861578863E-2"/>
    <n v="0.90236366445234051"/>
    <n v="5.2379025732319142E-3"/>
    <s v="High Risk"/>
  </r>
  <r>
    <x v="84"/>
    <n v="63985"/>
    <n v="474"/>
    <n v="27133"/>
    <n v="36378"/>
    <n v="9197590"/>
    <s v="Asia"/>
    <d v="2020-02-21T00:00:00"/>
    <n v="7.407986246776588E-3"/>
    <n v="0.42405251230757207"/>
    <n v="6.9567136608611607E-3"/>
    <s v="Low Risk"/>
  </r>
  <r>
    <x v="85"/>
    <n v="246286"/>
    <n v="35112"/>
    <n v="198593"/>
    <n v="12581"/>
    <n v="60452568"/>
    <s v="Europe"/>
    <d v="2020-01-31T00:00:00"/>
    <n v="0.14256595990027854"/>
    <n v="0.80635115272488078"/>
    <n v="4.0740370202304726E-3"/>
    <s v="High Risk"/>
  </r>
  <r>
    <x v="86"/>
    <n v="853"/>
    <n v="10"/>
    <n v="714"/>
    <n v="129"/>
    <n v="2962478"/>
    <s v="North America"/>
    <d v="2020-03-10T00:00:00"/>
    <n v="1.1723329425556858E-2"/>
    <n v="0.83704572098475971"/>
    <n v="2.8793462770018881E-4"/>
    <s v="Low Risk"/>
  </r>
  <r>
    <x v="87"/>
    <n v="31142"/>
    <n v="998"/>
    <n v="21970"/>
    <n v="8174"/>
    <n v="126435859"/>
    <s v="Asia"/>
    <d v="2020-01-16T00:00:00"/>
    <n v="3.2046753580373774E-2"/>
    <n v="0.70547813242566304"/>
    <n v="2.4630670639094564E-4"/>
    <s v="Modrate Risk"/>
  </r>
  <r>
    <x v="88"/>
    <n v="1176"/>
    <n v="11"/>
    <n v="1041"/>
    <n v="124"/>
    <n v="10213138"/>
    <s v="Asia"/>
    <d v="2020-03-02T00:00:00"/>
    <n v="9.3537414965986394E-3"/>
    <n v="0.88520408163265307"/>
    <n v="1.1514580533426651E-4"/>
    <s v="Low Risk"/>
  </r>
  <r>
    <x v="89"/>
    <n v="84648"/>
    <n v="585"/>
    <n v="54404"/>
    <n v="29659"/>
    <n v="18798667"/>
    <s v="Asia"/>
    <d v="2020-03-13T00:00:00"/>
    <n v="6.9109724978735467E-3"/>
    <n v="0.64270862867403833"/>
    <n v="4.5028724643082409E-3"/>
    <s v="Low Risk"/>
  </r>
  <r>
    <x v="90"/>
    <n v="17975"/>
    <n v="285"/>
    <n v="7833"/>
    <n v="9857"/>
    <n v="53881160"/>
    <s v="Africa"/>
    <d v="2020-03-13T00:00:00"/>
    <n v="1.5855354659248956E-2"/>
    <n v="0.4357719054242003"/>
    <n v="3.3360454748932648E-4"/>
    <s v="Low Risk"/>
  </r>
  <r>
    <x v="91"/>
    <n v="7413"/>
    <n v="185"/>
    <n v="4027"/>
    <n v="3201"/>
    <n v="1790152"/>
    <s v="Europe"/>
    <d v="2020-03-13T00:00:00"/>
    <n v="2.4956158100634021E-2"/>
    <n v="0.54323485768244972"/>
    <n v="4.1409891450558392E-3"/>
    <s v="Modrate Risk"/>
  </r>
  <r>
    <x v="92"/>
    <n v="64379"/>
    <n v="438"/>
    <n v="55057"/>
    <n v="8884"/>
    <n v="4276658"/>
    <s v="Asia"/>
    <d v="2020-02-24T00:00:00"/>
    <n v="6.8034607558365304E-3"/>
    <n v="0.85520123021482164"/>
    <n v="1.5053576881761413E-2"/>
    <s v="Low Risk"/>
  </r>
  <r>
    <x v="93"/>
    <n v="33296"/>
    <n v="1301"/>
    <n v="21205"/>
    <n v="10790"/>
    <n v="6534479"/>
    <s v="Asia"/>
    <d v="2020-03-18T00:00:00"/>
    <n v="3.9073762614127823E-2"/>
    <n v="0.63686328688130711"/>
    <n v="5.0954330100379842E-3"/>
    <s v="Modrate Risk"/>
  </r>
  <r>
    <x v="94"/>
    <n v="20"/>
    <n v="0"/>
    <n v="19"/>
    <n v="1"/>
    <n v="7285750"/>
    <s v="Asia"/>
    <d v="2020-03-24T00:00:00"/>
    <n v="0"/>
    <n v="0.95"/>
    <n v="2.7450845829187114E-6"/>
    <s v="Low Risk"/>
  </r>
  <r>
    <x v="95"/>
    <n v="1219"/>
    <n v="31"/>
    <n v="1045"/>
    <n v="143"/>
    <n v="1883936"/>
    <s v="Europe"/>
    <d v="2020-03-02T00:00:00"/>
    <n v="2.5430680885972109E-2"/>
    <n v="0.85726004922067267"/>
    <n v="6.4704958130212494E-4"/>
    <s v="Modrate Risk"/>
  </r>
  <r>
    <x v="96"/>
    <n v="3882"/>
    <n v="51"/>
    <n v="1709"/>
    <n v="2122"/>
    <n v="6822220"/>
    <s v="Asia"/>
    <d v="2020-02-21T00:00:00"/>
    <n v="1.3137557959814529E-2"/>
    <n v="0.44023699124162802"/>
    <n v="5.6902298665243865E-4"/>
    <s v="Low Risk"/>
  </r>
  <r>
    <x v="97"/>
    <n v="505"/>
    <n v="12"/>
    <n v="128"/>
    <n v="365"/>
    <n v="2143943"/>
    <s v="Africa"/>
    <d v="2020-05-13T00:00:00"/>
    <n v="2.3762376237623763E-2"/>
    <n v="0.25346534653465347"/>
    <n v="2.3554730699463559E-4"/>
    <s v="Modrate Risk"/>
  </r>
  <r>
    <x v="98"/>
    <n v="1167"/>
    <n v="72"/>
    <n v="646"/>
    <n v="449"/>
    <n v="5068618"/>
    <s v="Africa"/>
    <d v="2020-03-16T00:00:00"/>
    <n v="6.1696658097686374E-2"/>
    <n v="0.55355612682090827"/>
    <n v="2.3024027456793942E-4"/>
    <s v="High Risk"/>
  </r>
  <r>
    <x v="99"/>
    <n v="2827"/>
    <n v="64"/>
    <n v="577"/>
    <n v="2186"/>
    <n v="6880353"/>
    <s v="Africa"/>
    <d v="2020-03-24T00:00:00"/>
    <n v="2.2638839759462327E-2"/>
    <n v="0.20410328970640254"/>
    <n v="4.1088008129815432E-4"/>
    <s v="Modrate Risk"/>
  </r>
  <r>
    <x v="100"/>
    <n v="86"/>
    <n v="1"/>
    <n v="81"/>
    <n v="4"/>
    <n v="38139"/>
    <s v="Europe"/>
    <d v="2020-03-03T00:00:00"/>
    <n v="1.1627906976744186E-2"/>
    <n v="0.94186046511627908"/>
    <n v="2.2549096725136999E-3"/>
    <s v="Low Risk"/>
  </r>
  <r>
    <x v="101"/>
    <n v="2019"/>
    <n v="80"/>
    <n v="1620"/>
    <n v="319"/>
    <n v="2718121"/>
    <s v="Europe"/>
    <d v="2020-02-28T00:00:00"/>
    <n v="3.9623576027736501E-2"/>
    <n v="0.80237741456166423"/>
    <n v="7.4279253940497862E-4"/>
    <s v="Modrate Risk"/>
  </r>
  <r>
    <x v="102"/>
    <n v="6321"/>
    <n v="112"/>
    <n v="4825"/>
    <n v="1384"/>
    <n v="626952"/>
    <s v="Europe"/>
    <d v="2020-02-29T00:00:00"/>
    <n v="1.7718715393133997E-2"/>
    <n v="0.763328587248853"/>
    <n v="1.0082111549209509E-2"/>
    <s v="Low Risk"/>
  </r>
  <r>
    <x v="103"/>
    <n v="9690"/>
    <n v="91"/>
    <n v="6260"/>
    <n v="3339"/>
    <n v="27755708"/>
    <s v="Africa"/>
    <d v="2020-03-20T00:00:00"/>
    <n v="9.3911248710010324E-3"/>
    <n v="0.6460268317853457"/>
    <n v="3.491173779461868E-4"/>
    <s v="Low Risk"/>
  </r>
  <r>
    <x v="104"/>
    <n v="3664"/>
    <n v="99"/>
    <n v="1645"/>
    <n v="1920"/>
    <n v="19174839"/>
    <s v="Africa"/>
    <d v="2020-04-01T00:00:00"/>
    <n v="2.7019650655021835E-2"/>
    <n v="0.44896288209606988"/>
    <n v="1.910837426066524E-4"/>
    <s v="Modrate Risk"/>
  </r>
  <r>
    <x v="105"/>
    <n v="8904"/>
    <n v="124"/>
    <n v="8601"/>
    <n v="179"/>
    <n v="32406372"/>
    <s v="Asia"/>
    <d v="2020-01-25T00:00:00"/>
    <n v="1.3926325247079964E-2"/>
    <n v="0.96597035040431267"/>
    <n v="2.7476077852837093E-4"/>
    <s v="Low Risk"/>
  </r>
  <r>
    <x v="106"/>
    <n v="3369"/>
    <n v="15"/>
    <n v="2547"/>
    <n v="807"/>
    <n v="541448"/>
    <s v="Asia"/>
    <d v="2020-03-07T00:00:00"/>
    <n v="4.4523597506678537E-3"/>
    <n v="0.75601068566340157"/>
    <n v="6.2222041636500643E-3"/>
    <s v="Low Risk"/>
  </r>
  <r>
    <x v="107"/>
    <n v="2513"/>
    <n v="124"/>
    <n v="1913"/>
    <n v="476"/>
    <n v="20302901"/>
    <s v="Africa"/>
    <d v="2020-03-25T00:00:00"/>
    <n v="4.9343414245921209E-2"/>
    <n v="0.76124154397134902"/>
    <n v="1.2377541514880066E-4"/>
    <s v="Modrate Risk"/>
  </r>
  <r>
    <x v="108"/>
    <n v="701"/>
    <n v="9"/>
    <n v="665"/>
    <n v="27"/>
    <n v="441663"/>
    <s v="Europe"/>
    <d v="2020-03-07T00:00:00"/>
    <n v="1.2838801711840228E-2"/>
    <n v="0.94864479315263905"/>
    <n v="1.5871829879342395E-3"/>
    <s v="Low Risk"/>
  </r>
  <r>
    <x v="109"/>
    <n v="6208"/>
    <n v="156"/>
    <n v="4653"/>
    <n v="1399"/>
    <n v="4660728"/>
    <s v="Africa"/>
    <d v="2020-03-13T00:00:00"/>
    <n v="2.5128865979381444E-2"/>
    <n v="0.74951675257731953"/>
    <n v="1.3319807549378553E-3"/>
    <s v="Modrate Risk"/>
  </r>
  <r>
    <x v="110"/>
    <n v="344"/>
    <n v="10"/>
    <n v="332"/>
    <n v="2"/>
    <n v="1271985"/>
    <s v="Africa"/>
    <d v="2020-03-18T00:00:00"/>
    <n v="2.9069767441860465E-2"/>
    <n v="0.96511627906976749"/>
    <n v="2.7044344076384549E-4"/>
    <s v="Modrate Risk"/>
  </r>
  <r>
    <x v="111"/>
    <n v="395489"/>
    <n v="44022"/>
    <n v="303810"/>
    <n v="47657"/>
    <n v="129066160"/>
    <s v="North America"/>
    <d v="2020-02-28T00:00:00"/>
    <n v="0.11131030193001576"/>
    <n v="0.7681882429094109"/>
    <n v="3.0642346529872739E-3"/>
    <s v="High Risk"/>
  </r>
  <r>
    <x v="112"/>
    <n v="23154"/>
    <n v="748"/>
    <n v="16154"/>
    <n v="6252"/>
    <n v="4032983"/>
    <s v="Europe"/>
    <d v="2020-03-07T00:00:00"/>
    <n v="3.2305433186490456E-2"/>
    <n v="0.69767642739915348"/>
    <n v="5.7411598313208854E-3"/>
    <s v="Modrate Risk"/>
  </r>
  <r>
    <x v="113"/>
    <n v="116"/>
    <n v="4"/>
    <n v="104"/>
    <n v="8"/>
    <n v="39270"/>
    <s v="Europe"/>
    <d v="2020-02-29T00:00:00"/>
    <n v="3.4482758620689655E-2"/>
    <n v="0.89655172413793105"/>
    <n v="2.9539088362617776E-3"/>
    <s v="Modrate Risk"/>
  </r>
  <r>
    <x v="114"/>
    <n v="289"/>
    <n v="0"/>
    <n v="222"/>
    <n v="67"/>
    <n v="3283344"/>
    <s v="Asia"/>
    <d v="2020-03-10T00:00:00"/>
    <n v="0"/>
    <n v="0.76816608996539792"/>
    <n v="8.8020018615167948E-5"/>
    <s v="Low Risk"/>
  </r>
  <r>
    <x v="115"/>
    <n v="2893"/>
    <n v="45"/>
    <n v="809"/>
    <n v="2039"/>
    <n v="628074"/>
    <s v="Europe"/>
    <d v="2020-03-17T00:00:00"/>
    <n v="1.5554787417905289E-2"/>
    <n v="0.27964051157967507"/>
    <n v="4.6061451357642573E-3"/>
    <s v="Low Risk"/>
  </r>
  <r>
    <x v="116"/>
    <n v="20887"/>
    <n v="316"/>
    <n v="16553"/>
    <n v="4018"/>
    <n v="36953359"/>
    <s v="Africa"/>
    <d v="2020-03-02T00:00:00"/>
    <n v="1.5129027624838417E-2"/>
    <n v="0.79250251352515921"/>
    <n v="5.6522601910153822E-4"/>
    <s v="Low Risk"/>
  </r>
  <r>
    <x v="117"/>
    <n v="1701"/>
    <n v="11"/>
    <n v="0"/>
    <n v="1690"/>
    <n v="31333962"/>
    <s v="Africa"/>
    <d v="2020-03-22T00:00:00"/>
    <n v="6.4667842445620223E-3"/>
    <n v="0"/>
    <n v="5.4286144854583022E-5"/>
    <s v="Low Risk"/>
  </r>
  <r>
    <x v="118"/>
    <n v="1843"/>
    <n v="8"/>
    <n v="101"/>
    <n v="1734"/>
    <n v="2545264"/>
    <s v="Africa"/>
    <d v="2020-03-14T00:00:00"/>
    <n v="4.3407487791644059E-3"/>
    <n v="5.4801953336950621E-2"/>
    <n v="7.2408991758811663E-4"/>
    <s v="Low Risk"/>
  </r>
  <r>
    <x v="119"/>
    <n v="18752"/>
    <n v="48"/>
    <n v="13754"/>
    <n v="4950"/>
    <n v="29186486"/>
    <s v="Asia"/>
    <d v="2020-01-13T00:00:00"/>
    <n v="2.5597269624573378E-3"/>
    <n v="0.73346843003412965"/>
    <n v="6.4248913007204774E-4"/>
    <s v="Low Risk"/>
  </r>
  <r>
    <x v="120"/>
    <n v="53413"/>
    <n v="6160"/>
    <n v="189"/>
    <n v="47064"/>
    <n v="17138756"/>
    <s v="Europe"/>
    <d v="2020-02-27T00:00:00"/>
    <n v="0.11532772920450078"/>
    <n v="3.5384644187744555E-3"/>
    <n v="3.1165039049508613E-3"/>
    <s v="High Risk"/>
  </r>
  <r>
    <x v="121"/>
    <n v="1557"/>
    <n v="22"/>
    <n v="1514"/>
    <n v="21"/>
    <n v="5002100"/>
    <s v="Australia/Oceania"/>
    <d v="2020-02-28T00:00:00"/>
    <n v="1.4129736673089274E-2"/>
    <n v="0.97238278741168915"/>
    <n v="3.112692669078987E-4"/>
    <s v="Low Risk"/>
  </r>
  <r>
    <x v="122"/>
    <n v="3439"/>
    <n v="108"/>
    <n v="2492"/>
    <n v="839"/>
    <n v="6632263"/>
    <s v="North America"/>
    <d v="2020-03-18T00:00:00"/>
    <n v="3.1404478045943589E-2"/>
    <n v="0.72462925268973544"/>
    <n v="5.1852587872344626E-4"/>
    <s v="Modrate Risk"/>
  </r>
  <r>
    <x v="123"/>
    <n v="1132"/>
    <n v="69"/>
    <n v="1027"/>
    <n v="36"/>
    <n v="24281433"/>
    <s v="Africa"/>
    <d v="2020-03-19T00:00:00"/>
    <n v="6.0954063604240286E-2"/>
    <n v="0.90724381625441697"/>
    <n v="4.6619983260460779E-5"/>
    <s v="High Risk"/>
  </r>
  <r>
    <x v="124"/>
    <n v="41180"/>
    <n v="860"/>
    <n v="18203"/>
    <n v="22117"/>
    <n v="206606300"/>
    <s v="Africa"/>
    <d v="2020-02-27T00:00:00"/>
    <n v="2.0883924235065566E-2"/>
    <n v="0.44203496843127732"/>
    <n v="1.9931628415977636E-4"/>
    <s v="Modrate Risk"/>
  </r>
  <r>
    <x v="125"/>
    <n v="10213"/>
    <n v="466"/>
    <n v="5564"/>
    <n v="4183"/>
    <n v="2083365"/>
    <s v="Europe"/>
    <d v="2020-02-26T00:00:00"/>
    <n v="4.5628121022226575E-2"/>
    <n v="0.54479584842847351"/>
    <n v="4.9021654870845966E-3"/>
    <s v="Modrate Risk"/>
  </r>
  <r>
    <x v="126"/>
    <n v="9132"/>
    <n v="255"/>
    <n v="8752"/>
    <n v="125"/>
    <n v="5425471"/>
    <s v="Europe"/>
    <d v="2020-02-26T00:00:00"/>
    <n v="2.7923784494086726E-2"/>
    <n v="0.95838808585194923"/>
    <n v="1.6831718389057834E-3"/>
    <s v="Modrate Risk"/>
  </r>
  <r>
    <x v="127"/>
    <n v="77058"/>
    <n v="393"/>
    <n v="57028"/>
    <n v="19637"/>
    <n v="5118446"/>
    <s v="Asia"/>
    <d v="2020-02-24T00:00:00"/>
    <n v="5.1000545043992833E-3"/>
    <n v="0.74006592436865737"/>
    <n v="1.5054960040606075E-2"/>
    <s v="Low Risk"/>
  </r>
  <r>
    <x v="128"/>
    <n v="274289"/>
    <n v="5842"/>
    <n v="241026"/>
    <n v="27421"/>
    <n v="221295851"/>
    <s v="Asia"/>
    <d v="2020-02-26T00:00:00"/>
    <n v="2.1298703192618004E-2"/>
    <n v="0.8787300985456945"/>
    <n v="1.2394674313166406E-3"/>
    <s v="Modrate Risk"/>
  </r>
  <r>
    <x v="129"/>
    <n v="61442"/>
    <n v="1322"/>
    <n v="35086"/>
    <n v="25034"/>
    <n v="5112340"/>
    <s v="Asia"/>
    <d v="2020-03-09T00:00:00"/>
    <n v="2.1516226685329255E-2"/>
    <n v="0.57104260929006212"/>
    <n v="1.2018371235089998E-2"/>
    <s v="Modrate Risk"/>
  </r>
  <r>
    <x v="130"/>
    <n v="62"/>
    <n v="0"/>
    <n v="11"/>
    <n v="51"/>
    <n v="8963009"/>
    <s v="Australia/Oceania"/>
    <d v="2020-03-20T00:00:00"/>
    <n v="0"/>
    <n v="0.17741935483870969"/>
    <n v="6.9173198420307291E-6"/>
    <s v="Low Risk"/>
  </r>
  <r>
    <x v="131"/>
    <n v="4548"/>
    <n v="43"/>
    <n v="2905"/>
    <n v="1600"/>
    <n v="7141091"/>
    <s v="South America"/>
    <d v="2020-03-07T00:00:00"/>
    <n v="9.4547053649956022E-3"/>
    <n v="0.63874230430958667"/>
    <n v="6.368774743243014E-4"/>
    <s v="Low Risk"/>
  </r>
  <r>
    <x v="132"/>
    <n v="389717"/>
    <n v="18418"/>
    <n v="272547"/>
    <n v="98752"/>
    <n v="33016319"/>
    <s v="South America"/>
    <d v="2020-03-06T00:00:00"/>
    <n v="4.7259934773181564E-2"/>
    <n v="0.69934593564047753"/>
    <n v="1.180376891803111E-2"/>
    <s v="Modrate Risk"/>
  </r>
  <r>
    <x v="133"/>
    <n v="82040"/>
    <n v="1945"/>
    <n v="26446"/>
    <n v="53649"/>
    <n v="109722719"/>
    <s v="Asia"/>
    <d v="2020-01-30T00:00:00"/>
    <n v="2.370794734275963E-2"/>
    <n v="0.32235494880546073"/>
    <n v="7.4770294381786148E-4"/>
    <s v="Modrate Risk"/>
  </r>
  <r>
    <x v="134"/>
    <n v="43402"/>
    <n v="1676"/>
    <n v="32856"/>
    <n v="8870"/>
    <n v="37842302"/>
    <s v="Europe"/>
    <d v="2020-03-04T00:00:00"/>
    <n v="3.8615731993917331E-2"/>
    <n v="0.75701580572323857"/>
    <n v="1.1469175421727779E-3"/>
    <s v="Modrate Risk"/>
  </r>
  <r>
    <x v="135"/>
    <n v="50299"/>
    <n v="1719"/>
    <n v="35375"/>
    <n v="13205"/>
    <n v="10193593"/>
    <s v="Europe"/>
    <d v="2020-03-02T00:00:00"/>
    <n v="3.4175629734189548E-2"/>
    <n v="0.70329430008548877"/>
    <n v="4.9343739739265632E-3"/>
    <s v="Modrate Risk"/>
  </r>
  <r>
    <x v="136"/>
    <n v="109597"/>
    <n v="165"/>
    <n v="106328"/>
    <n v="3104"/>
    <n v="2807805"/>
    <s v="Asia"/>
    <d v="2020-02-27T00:00:00"/>
    <n v="1.5055156619250528E-3"/>
    <n v="0.97017254121919394"/>
    <n v="3.9032981278970584E-2"/>
    <s v="Low Risk"/>
  </r>
  <r>
    <x v="137"/>
    <n v="45902"/>
    <n v="2206"/>
    <n v="25794"/>
    <n v="17902"/>
    <n v="19224023"/>
    <s v="Europe"/>
    <d v="2020-02-26T00:00:00"/>
    <n v="4.805890810857915E-2"/>
    <n v="0.56193629907193587"/>
    <n v="2.3877416293145303E-3"/>
    <s v="Modrate Risk"/>
  </r>
  <r>
    <x v="138"/>
    <n v="816680"/>
    <n v="13334"/>
    <n v="602249"/>
    <n v="201097"/>
    <n v="145940924"/>
    <s v="Europe"/>
    <d v="2020-01-31T00:00:00"/>
    <n v="1.6327080374197972E-2"/>
    <n v="0.73743571533525987"/>
    <n v="5.5959629253820543E-3"/>
    <s v="Low Risk"/>
  </r>
  <r>
    <x v="139"/>
    <n v="1879"/>
    <n v="5"/>
    <n v="975"/>
    <n v="899"/>
    <n v="12981546"/>
    <s v="Africa"/>
    <d v="2020-03-14T00:00:00"/>
    <n v="2.6609898882384245E-3"/>
    <n v="0.51889302820649286"/>
    <n v="1.4474393111575461E-4"/>
    <s v="Low Risk"/>
  </r>
  <r>
    <x v="140"/>
    <n v="17"/>
    <n v="0"/>
    <n v="15"/>
    <n v="2"/>
    <n v="53237"/>
    <s v="North America"/>
    <d v="2020-03-24T00:00:00"/>
    <n v="0"/>
    <n v="0.88235294117647056"/>
    <n v="3.1932678400360654E-4"/>
    <s v="Low Risk"/>
  </r>
  <r>
    <x v="141"/>
    <n v="24"/>
    <n v="0"/>
    <n v="22"/>
    <n v="2"/>
    <n v="183712"/>
    <s v="North America"/>
    <d v="2020-03-13T00:00:00"/>
    <n v="0"/>
    <n v="0.91666666666666663"/>
    <n v="1.306392614527086E-4"/>
    <s v="Low Risk"/>
  </r>
  <r>
    <x v="142"/>
    <n v="52"/>
    <n v="0"/>
    <n v="39"/>
    <n v="13"/>
    <n v="104000"/>
    <s v="North America"/>
    <d v="2020-03-11T00:00:00"/>
    <n v="0"/>
    <n v="0.75"/>
    <n v="5.0000000000000001E-4"/>
    <s v="Low Risk"/>
  </r>
  <r>
    <x v="143"/>
    <n v="699"/>
    <n v="42"/>
    <n v="657"/>
    <n v="0"/>
    <n v="33938"/>
    <s v="Europe"/>
    <d v="2020-02-27T00:00:00"/>
    <n v="6.0085836909871244E-2"/>
    <n v="0.93991416309012876"/>
    <n v="2.0596381637102954E-2"/>
    <s v="High Risk"/>
  </r>
  <r>
    <x v="144"/>
    <n v="865"/>
    <n v="14"/>
    <n v="734"/>
    <n v="117"/>
    <n v="219544"/>
    <s v="Africa"/>
    <d v="2020-04-06T00:00:00"/>
    <n v="1.6184971098265895E-2"/>
    <n v="0.84855491329479771"/>
    <n v="3.9399846955507781E-3"/>
    <s v="Low Risk"/>
  </r>
  <r>
    <x v="145"/>
    <n v="268934"/>
    <n v="2760"/>
    <n v="222936"/>
    <n v="43238"/>
    <n v="34865919"/>
    <s v="Asia"/>
    <d v="2020-03-02T00:00:00"/>
    <n v="1.0262741044271086E-2"/>
    <n v="0.8289617526976879"/>
    <n v="7.7133776396371484E-3"/>
    <s v="Low Risk"/>
  </r>
  <r>
    <x v="146"/>
    <n v="9764"/>
    <n v="194"/>
    <n v="6477"/>
    <n v="3093"/>
    <n v="16783877"/>
    <s v="Africa"/>
    <d v="2020-03-02T00:00:00"/>
    <n v="1.9868906185989348E-2"/>
    <n v="0.66335518230233514"/>
    <n v="5.8174878188156404E-4"/>
    <s v="Low Risk"/>
  </r>
  <r>
    <x v="147"/>
    <n v="24141"/>
    <n v="543"/>
    <n v="0"/>
    <n v="23598"/>
    <n v="8733665"/>
    <s v="Europe"/>
    <d v="2020-03-06T00:00:00"/>
    <n v="2.2492854479930408E-2"/>
    <n v="0"/>
    <n v="2.7641316675187334E-3"/>
    <s v="Modrate Risk"/>
  </r>
  <r>
    <x v="148"/>
    <n v="114"/>
    <n v="0"/>
    <n v="39"/>
    <n v="75"/>
    <n v="98408"/>
    <s v="Africa"/>
    <d v="2020-03-14T00:00:00"/>
    <n v="0"/>
    <n v="0.34210526315789475"/>
    <n v="1.158442403056662E-3"/>
    <s v="Low Risk"/>
  </r>
  <r>
    <x v="149"/>
    <n v="1783"/>
    <n v="66"/>
    <n v="1317"/>
    <n v="400"/>
    <n v="7992169"/>
    <s v="Africa"/>
    <d v="2020-03-31T00:00:00"/>
    <n v="3.7016264722378012E-2"/>
    <n v="0.73864273696017946"/>
    <n v="2.230933805328691E-4"/>
    <s v="Modrate Risk"/>
  </r>
  <r>
    <x v="150"/>
    <n v="50838"/>
    <n v="27"/>
    <n v="45692"/>
    <n v="5119"/>
    <n v="5854932"/>
    <s v="Asia"/>
    <d v="2020-01-23T00:00:00"/>
    <n v="5.3109878437389356E-4"/>
    <n v="0.89877650576340529"/>
    <n v="8.6829360272672688E-3"/>
    <s v="Low Risk"/>
  </r>
  <r>
    <x v="151"/>
    <n v="2181"/>
    <n v="28"/>
    <n v="1616"/>
    <n v="537"/>
    <n v="5459915"/>
    <s v="Europe"/>
    <d v="2020-03-06T00:00:00"/>
    <n v="1.2838147638697846E-2"/>
    <n v="0.74094452086198992"/>
    <n v="3.994567680998697E-4"/>
    <s v="Low Risk"/>
  </r>
  <r>
    <x v="152"/>
    <n v="2087"/>
    <n v="116"/>
    <n v="1733"/>
    <n v="238"/>
    <n v="2078968"/>
    <s v="Europe"/>
    <d v="2020-03-04T00:00:00"/>
    <n v="5.558217537134643E-2"/>
    <n v="0.83037853378054627"/>
    <n v="1.0038634553297598E-3"/>
    <s v="High Risk"/>
  </r>
  <r>
    <x v="153"/>
    <n v="3196"/>
    <n v="93"/>
    <n v="1543"/>
    <n v="1560"/>
    <n v="15933012"/>
    <s v="Africa"/>
    <d v="2020-03-16T00:00:00"/>
    <n v="2.9098873591989989E-2"/>
    <n v="0.48279098873591991"/>
    <n v="2.0058981942648382E-4"/>
    <s v="Modrate Risk"/>
  </r>
  <r>
    <x v="154"/>
    <n v="452529"/>
    <n v="7067"/>
    <n v="274925"/>
    <n v="170537"/>
    <n v="59381566"/>
    <s v="Africa"/>
    <d v="2020-03-05T00:00:00"/>
    <n v="1.5616678710093718E-2"/>
    <n v="0.60753012514115112"/>
    <n v="7.6206983157028904E-3"/>
    <s v="Low Risk"/>
  </r>
  <r>
    <x v="155"/>
    <n v="14203"/>
    <n v="300"/>
    <n v="13007"/>
    <n v="896"/>
    <n v="51273732"/>
    <s v="Asia"/>
    <d v="2020-01-20T00:00:00"/>
    <n v="2.1122298106033936E-2"/>
    <n v="0.91579243821727807"/>
    <n v="2.7700343715959667E-4"/>
    <s v="Modrate Risk"/>
  </r>
  <r>
    <x v="156"/>
    <n v="2305"/>
    <n v="46"/>
    <n v="1175"/>
    <n v="1084"/>
    <n v="11206572"/>
    <s v="Africa"/>
    <d v="2020-04-05T00:00:00"/>
    <n v="1.9956616052060738E-2"/>
    <n v="0.50976138828633411"/>
    <n v="2.0568287965311784E-4"/>
    <s v="Low Risk"/>
  </r>
  <r>
    <x v="157"/>
    <n v="272421"/>
    <n v="28432"/>
    <n v="150376"/>
    <n v="93613"/>
    <n v="46756648"/>
    <s v="Europe"/>
    <d v="2020-01-31T00:00:00"/>
    <n v="0.10436787178668311"/>
    <n v="0.55199856105072664"/>
    <n v="5.8263586388827534E-3"/>
    <s v="High Risk"/>
  </r>
  <r>
    <x v="158"/>
    <n v="2805"/>
    <n v="11"/>
    <n v="2121"/>
    <n v="673"/>
    <n v="21422362"/>
    <s v="Asia"/>
    <d v="2020-01-27T00:00:00"/>
    <n v="3.9215686274509803E-3"/>
    <n v="0.75614973262032081"/>
    <n v="1.3093794232400704E-4"/>
    <s v="Low Risk"/>
  </r>
  <r>
    <x v="159"/>
    <n v="11424"/>
    <n v="720"/>
    <n v="5939"/>
    <n v="4765"/>
    <n v="43943536"/>
    <s v="Africa"/>
    <d v="2020-03-13T00:00:00"/>
    <n v="6.3025210084033612E-2"/>
    <n v="0.51987044817927175"/>
    <n v="2.5996997601649536E-4"/>
    <s v="High Risk"/>
  </r>
  <r>
    <x v="160"/>
    <n v="1483"/>
    <n v="24"/>
    <n v="925"/>
    <n v="534"/>
    <n v="587154"/>
    <s v="South America"/>
    <d v="2020-03-13T00:00:00"/>
    <n v="1.6183412002697236E-2"/>
    <n v="0.62373567093728932"/>
    <n v="2.5257428204525558E-3"/>
    <s v="Low Risk"/>
  </r>
  <r>
    <x v="161"/>
    <n v="79395"/>
    <n v="5700"/>
    <n v="0"/>
    <n v="73695"/>
    <n v="10105596"/>
    <s v="Europe"/>
    <d v="2020-01-31T00:00:00"/>
    <n v="7.1792934063857922E-2"/>
    <n v="0"/>
    <n v="7.8565381002763217E-3"/>
    <s v="High Risk"/>
  </r>
  <r>
    <x v="162"/>
    <n v="34477"/>
    <n v="1978"/>
    <n v="30900"/>
    <n v="1599"/>
    <n v="8660952"/>
    <s v="Europe"/>
    <d v="2020-02-25T00:00:00"/>
    <n v="5.7371581054036024E-2"/>
    <n v="0.89624967369550712"/>
    <n v="3.9807402234765879E-3"/>
    <s v="High Risk"/>
  </r>
  <r>
    <x v="163"/>
    <n v="674"/>
    <n v="40"/>
    <n v="0"/>
    <n v="634"/>
    <n v="17539600"/>
    <s v="Asia"/>
    <d v="2020-03-22T00:00:00"/>
    <n v="5.9347181008902079E-2"/>
    <n v="0"/>
    <n v="3.8427330155761816E-5"/>
    <s v="High Risk"/>
  </r>
  <r>
    <x v="164"/>
    <n v="462"/>
    <n v="7"/>
    <n v="440"/>
    <n v="15"/>
    <n v="23821199"/>
    <s v="Asia"/>
    <d v="2020-01-21T00:00:00"/>
    <n v="1.5151515151515152E-2"/>
    <n v="0.95238095238095233"/>
    <n v="1.9394489756791838E-5"/>
    <s v="Low Risk"/>
  </r>
  <r>
    <x v="165"/>
    <n v="7235"/>
    <n v="60"/>
    <n v="6028"/>
    <n v="1147"/>
    <n v="9557468"/>
    <s v="Asia"/>
    <d v="2020-04-30T00:00:00"/>
    <n v="8.2930200414651004E-3"/>
    <n v="0.83317208016586042"/>
    <n v="7.569996572313922E-4"/>
    <s v="Low Risk"/>
  </r>
  <r>
    <x v="166"/>
    <n v="509"/>
    <n v="21"/>
    <n v="183"/>
    <n v="305"/>
    <n v="59886383"/>
    <s v="Africa"/>
    <d v="2020-03-16T00:00:00"/>
    <n v="4.1257367387033402E-2"/>
    <n v="0.35952848722986247"/>
    <n v="8.4994279918358071E-6"/>
    <s v="Modrate Risk"/>
  </r>
  <r>
    <x v="167"/>
    <n v="3297"/>
    <n v="58"/>
    <n v="3111"/>
    <n v="128"/>
    <n v="69817894"/>
    <s v="Asia"/>
    <d v="2020-01-13T00:00:00"/>
    <n v="1.7591750075826508E-2"/>
    <n v="0.94358507734303909"/>
    <n v="4.7222850921283877E-5"/>
    <s v="Low Risk"/>
  </r>
  <r>
    <x v="168"/>
    <n v="24"/>
    <n v="0"/>
    <n v="0"/>
    <n v="24"/>
    <n v="1320812"/>
    <s v="Asia"/>
    <d v="2020-03-21T00:00:00"/>
    <n v="0"/>
    <n v="0"/>
    <n v="1.8170640484792688E-5"/>
    <s v="Low Risk"/>
  </r>
  <r>
    <x v="169"/>
    <n v="874"/>
    <n v="18"/>
    <n v="607"/>
    <n v="249"/>
    <n v="8296582"/>
    <s v="Africa"/>
    <d v="2020-03-06T00:00:00"/>
    <n v="2.0594965675057208E-2"/>
    <n v="0.69450800915331812"/>
    <n v="1.0534458648151732E-4"/>
    <s v="Modrate Risk"/>
  </r>
  <r>
    <x v="170"/>
    <n v="148"/>
    <n v="8"/>
    <n v="128"/>
    <n v="12"/>
    <n v="1399950"/>
    <s v="North America"/>
    <d v="2020-03-12T00:00:00"/>
    <n v="5.4054054054054057E-2"/>
    <n v="0.86486486486486491"/>
    <n v="1.0571806135933426E-4"/>
    <s v="High Risk"/>
  </r>
  <r>
    <x v="171"/>
    <n v="1455"/>
    <n v="50"/>
    <n v="1157"/>
    <n v="248"/>
    <n v="11830801"/>
    <s v="Africa"/>
    <d v="2020-03-02T00:00:00"/>
    <n v="3.4364261168384883E-2"/>
    <n v="0.79518900343642607"/>
    <n v="1.2298406506879795E-4"/>
    <s v="Modrate Risk"/>
  </r>
  <r>
    <x v="172"/>
    <n v="227019"/>
    <n v="5630"/>
    <n v="210469"/>
    <n v="10920"/>
    <n v="84428331"/>
    <s v="Asia"/>
    <d v="2020-03-11T00:00:00"/>
    <n v="2.4799686369863315E-2"/>
    <n v="0.92709861289143203"/>
    <n v="2.6888959820844972E-3"/>
    <s v="Modrate Risk"/>
  </r>
  <r>
    <x v="173"/>
    <n v="4290259"/>
    <n v="148011"/>
    <n v="1325804"/>
    <n v="2816444"/>
    <n v="331198130"/>
    <s v="North America"/>
    <d v="2020-01-21T00:00:00"/>
    <n v="3.4499315775574385E-2"/>
    <n v="0.30902656459668287"/>
    <n v="1.2953753694201112E-2"/>
    <s v="Modrate Risk"/>
  </r>
  <r>
    <x v="174"/>
    <n v="1128"/>
    <n v="2"/>
    <n v="986"/>
    <n v="140"/>
    <n v="45867852"/>
    <s v="Africa"/>
    <d v="2020-03-22T00:00:00"/>
    <n v="1.7730496453900709E-3"/>
    <n v="0.87411347517730498"/>
    <n v="2.4592387714166339E-5"/>
    <s v="Low Risk"/>
  </r>
  <r>
    <x v="175"/>
    <n v="67096"/>
    <n v="1636"/>
    <n v="37202"/>
    <n v="28258"/>
    <n v="43705858"/>
    <s v="Europe"/>
    <d v="2020-03-03T00:00:00"/>
    <n v="2.4382973649695959E-2"/>
    <n v="0.55445928222248719"/>
    <n v="1.5351717840661086E-3"/>
    <s v="Modrate Risk"/>
  </r>
  <r>
    <x v="176"/>
    <n v="59177"/>
    <n v="345"/>
    <n v="52510"/>
    <n v="6322"/>
    <n v="9902079"/>
    <s v="Asia"/>
    <d v="2020-01-29T00:00:00"/>
    <n v="5.8299677239468037E-3"/>
    <n v="0.88733798604187442"/>
    <n v="5.9762197413290681E-3"/>
    <s v="Low Risk"/>
  </r>
  <r>
    <x v="177"/>
    <n v="301708"/>
    <n v="45844"/>
    <n v="1437"/>
    <n v="254427"/>
    <n v="67922029"/>
    <s v="Europe"/>
    <d v="2020-01-31T00:00:00"/>
    <n v="0.15194824134593712"/>
    <n v="4.7628833176448756E-3"/>
    <n v="4.4419756659507328E-3"/>
    <s v="High Risk"/>
  </r>
  <r>
    <x v="178"/>
    <n v="1202"/>
    <n v="35"/>
    <n v="951"/>
    <n v="216"/>
    <n v="3474956"/>
    <s v="South America"/>
    <d v="2020-03-13T00:00:00"/>
    <n v="2.9118136439267885E-2"/>
    <n v="0.79118136439267883"/>
    <n v="3.4590366036289381E-4"/>
    <s v="Modrate Risk"/>
  </r>
  <r>
    <x v="179"/>
    <n v="21209"/>
    <n v="121"/>
    <n v="11674"/>
    <n v="9414"/>
    <n v="33516027"/>
    <s v="Asia"/>
    <d v="2020-03-15T00:00:00"/>
    <n v="5.7051251827054551E-3"/>
    <n v="0.55042670564383045"/>
    <n v="6.3280173392866643E-4"/>
    <s v="Low Risk"/>
  </r>
  <r>
    <x v="180"/>
    <n v="15988"/>
    <n v="146"/>
    <n v="9959"/>
    <n v="5883"/>
    <n v="28427499"/>
    <s v="South America"/>
    <d v="2020-03-13T00:00:00"/>
    <n v="9.1318488866649981E-3"/>
    <n v="0.62290467850888165"/>
    <n v="5.624131760588577E-4"/>
    <s v="Low Risk"/>
  </r>
  <r>
    <x v="181"/>
    <n v="431"/>
    <n v="0"/>
    <n v="365"/>
    <n v="66"/>
    <n v="97425470"/>
    <s v="Asia"/>
    <d v="2020-01-23T00:00:00"/>
    <n v="0"/>
    <n v="0.84686774941995357"/>
    <n v="4.4238944908348918E-6"/>
    <s v="Low Risk"/>
  </r>
  <r>
    <x v="182"/>
    <n v="10621"/>
    <n v="78"/>
    <n v="3752"/>
    <n v="6791"/>
    <n v="4800000"/>
    <s v="Asia"/>
    <d v="2020-03-05T00:00:00"/>
    <n v="7.3439412484700125E-3"/>
    <n v="0.35326240466999342"/>
    <n v="2.2127083333333335E-3"/>
    <s v="Low Risk"/>
  </r>
  <r>
    <x v="183"/>
    <n v="10"/>
    <n v="1"/>
    <n v="8"/>
    <n v="1"/>
    <n v="598682"/>
    <s v="Africa"/>
    <d v="2020-04-04T00:00:00"/>
    <n v="0.1"/>
    <n v="0.8"/>
    <n v="1.6703358377235327E-5"/>
    <s v="High Risk"/>
  </r>
  <r>
    <x v="184"/>
    <n v="1691"/>
    <n v="483"/>
    <n v="833"/>
    <n v="375"/>
    <n v="29886897"/>
    <s v="Asia"/>
    <d v="2020-04-10T00:00:00"/>
    <n v="0.28562980484920164"/>
    <n v="0.49260792430514488"/>
    <n v="5.6579978844909859E-5"/>
    <s v="High Risk"/>
  </r>
  <r>
    <x v="185"/>
    <n v="4552"/>
    <n v="140"/>
    <n v="2815"/>
    <n v="1597"/>
    <n v="18430129"/>
    <s v="Africa"/>
    <d v="2020-03-18T00:00:00"/>
    <n v="3.0755711775043937E-2"/>
    <n v="0.61840949033391912"/>
    <n v="2.4698687676033088E-4"/>
    <s v="Modrate Risk"/>
  </r>
  <r>
    <x v="186"/>
    <n v="2704"/>
    <n v="36"/>
    <n v="542"/>
    <n v="2126"/>
    <n v="14883803"/>
    <s v="Africa"/>
    <d v="2020-03-21T00:00:00"/>
    <n v="1.3313609467455622E-2"/>
    <n v="0.20044378698224852"/>
    <n v="1.8167399823821909E-4"/>
    <s v="Low Risk"/>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87">
  <r>
    <x v="0"/>
    <x v="0"/>
    <n v="1269"/>
    <n v="25198"/>
    <n v="9796"/>
    <n v="39009447"/>
    <x v="0"/>
    <x v="0"/>
    <x v="0"/>
    <n v="0.69486804732096075"/>
    <n v="9.2959533622714516E-4"/>
    <s v="Modrate Risk"/>
  </r>
  <r>
    <x v="1"/>
    <x v="1"/>
    <n v="144"/>
    <n v="2745"/>
    <n v="1991"/>
    <n v="2877470"/>
    <x v="1"/>
    <x v="1"/>
    <x v="1"/>
    <n v="0.5625"/>
    <n v="1.6959342755962703E-3"/>
    <s v="Modrate Risk"/>
  </r>
  <r>
    <x v="2"/>
    <x v="2"/>
    <n v="1163"/>
    <n v="18837"/>
    <n v="7973"/>
    <n v="43926079"/>
    <x v="2"/>
    <x v="2"/>
    <x v="2"/>
    <n v="0.67339934937260926"/>
    <n v="6.3681987185790017E-4"/>
    <s v="Modrate Risk"/>
  </r>
  <r>
    <x v="3"/>
    <x v="3"/>
    <n v="52"/>
    <n v="803"/>
    <n v="52"/>
    <n v="77278"/>
    <x v="1"/>
    <x v="3"/>
    <x v="3"/>
    <n v="0.88533627342888643"/>
    <n v="1.1736846191671627E-2"/>
    <s v="High Risk"/>
  </r>
  <r>
    <x v="4"/>
    <x v="4"/>
    <n v="41"/>
    <n v="242"/>
    <n v="667"/>
    <n v="32956300"/>
    <x v="2"/>
    <x v="4"/>
    <x v="4"/>
    <n v="0.25473684210526315"/>
    <n v="2.8826051468156317E-5"/>
    <s v="Modrate Risk"/>
  </r>
  <r>
    <x v="5"/>
    <x v="5"/>
    <n v="3"/>
    <n v="65"/>
    <n v="18"/>
    <n v="98010"/>
    <x v="3"/>
    <x v="5"/>
    <x v="5"/>
    <n v="0.7558139534883721"/>
    <n v="8.7746148352208962E-4"/>
    <s v="Modrate Risk"/>
  </r>
  <r>
    <x v="6"/>
    <x v="6"/>
    <n v="3059"/>
    <n v="72575"/>
    <n v="91782"/>
    <n v="45236884"/>
    <x v="4"/>
    <x v="6"/>
    <x v="6"/>
    <n v="0.43350097959573758"/>
    <n v="3.7008738267649026E-3"/>
    <s v="Low Risk"/>
  </r>
  <r>
    <x v="7"/>
    <x v="7"/>
    <n v="711"/>
    <n v="26665"/>
    <n v="10014"/>
    <n v="2963811"/>
    <x v="0"/>
    <x v="7"/>
    <x v="7"/>
    <n v="0.71315859855576358"/>
    <n v="1.2615514282118529E-2"/>
    <s v="Low Risk"/>
  </r>
  <r>
    <x v="8"/>
    <x v="8"/>
    <n v="167"/>
    <n v="9311"/>
    <n v="5825"/>
    <n v="25528864"/>
    <x v="5"/>
    <x v="8"/>
    <x v="8"/>
    <n v="0.60844278899562176"/>
    <n v="5.9943912897965216E-4"/>
    <s v="Low Risk"/>
  </r>
  <r>
    <x v="9"/>
    <x v="9"/>
    <n v="713"/>
    <n v="18246"/>
    <n v="1599"/>
    <n v="9011577"/>
    <x v="1"/>
    <x v="2"/>
    <x v="9"/>
    <n v="0.88753769821967121"/>
    <n v="2.2812877257776302E-3"/>
    <s v="Modrate Risk"/>
  </r>
  <r>
    <x v="10"/>
    <x v="10"/>
    <n v="423"/>
    <n v="23242"/>
    <n v="6781"/>
    <n v="10148243"/>
    <x v="0"/>
    <x v="9"/>
    <x v="10"/>
    <n v="0.76338435262431847"/>
    <n v="3.0001252433549336E-3"/>
    <s v="Low Risk"/>
  </r>
  <r>
    <x v="11"/>
    <x v="11"/>
    <n v="11"/>
    <n v="91"/>
    <n v="280"/>
    <n v="393616"/>
    <x v="3"/>
    <x v="10"/>
    <x v="11"/>
    <n v="0.23821989528795812"/>
    <n v="9.7048900451201169E-4"/>
    <s v="Modrate Risk"/>
  </r>
  <r>
    <x v="12"/>
    <x v="12"/>
    <n v="141"/>
    <n v="36110"/>
    <n v="3231"/>
    <n v="1706669"/>
    <x v="0"/>
    <x v="11"/>
    <x v="12"/>
    <n v="0.91459399219897675"/>
    <n v="2.3133952746548978E-2"/>
    <s v="Low Risk"/>
  </r>
  <r>
    <x v="13"/>
    <x v="13"/>
    <n v="2965"/>
    <n v="125683"/>
    <n v="97577"/>
    <n v="164851401"/>
    <x v="0"/>
    <x v="12"/>
    <x v="13"/>
    <n v="0.55556636092385903"/>
    <n v="1.3722964962851604E-3"/>
    <s v="Low Risk"/>
  </r>
  <r>
    <x v="14"/>
    <x v="14"/>
    <n v="7"/>
    <n v="94"/>
    <n v="9"/>
    <n v="287411"/>
    <x v="3"/>
    <x v="13"/>
    <x v="14"/>
    <n v="0.8545454545454545"/>
    <n v="3.8272717467320317E-4"/>
    <s v="High Risk"/>
  </r>
  <r>
    <x v="15"/>
    <x v="15"/>
    <n v="538"/>
    <n v="60492"/>
    <n v="6221"/>
    <n v="9449001"/>
    <x v="1"/>
    <x v="9"/>
    <x v="15"/>
    <n v="0.89949591827630815"/>
    <n v="7.1172603326002401E-3"/>
    <s v="Low Risk"/>
  </r>
  <r>
    <x v="16"/>
    <x v="16"/>
    <n v="9822"/>
    <n v="17452"/>
    <n v="39154"/>
    <n v="11594739"/>
    <x v="1"/>
    <x v="14"/>
    <x v="16"/>
    <n v="0.26272053953152286"/>
    <n v="5.7291500912612179E-3"/>
    <s v="High Risk"/>
  </r>
  <r>
    <x v="17"/>
    <x v="17"/>
    <n v="2"/>
    <n v="26"/>
    <n v="20"/>
    <n v="398312"/>
    <x v="3"/>
    <x v="15"/>
    <x v="17"/>
    <n v="0.54166666666666663"/>
    <n v="1.2050854606439174E-4"/>
    <s v="Modrate Risk"/>
  </r>
  <r>
    <x v="18"/>
    <x v="18"/>
    <n v="35"/>
    <n v="1036"/>
    <n v="699"/>
    <n v="12151976"/>
    <x v="2"/>
    <x v="16"/>
    <x v="18"/>
    <n v="0.58531073446327686"/>
    <n v="1.4565532387489903E-4"/>
    <s v="Low Risk"/>
  </r>
  <r>
    <x v="19"/>
    <x v="19"/>
    <n v="0"/>
    <n v="86"/>
    <n v="13"/>
    <n v="772443"/>
    <x v="0"/>
    <x v="17"/>
    <x v="19"/>
    <n v="0.86868686868686873"/>
    <n v="1.2816479662577045E-4"/>
    <s v="Low Risk"/>
  </r>
  <r>
    <x v="20"/>
    <x v="20"/>
    <n v="2647"/>
    <n v="21478"/>
    <n v="47056"/>
    <n v="11688459"/>
    <x v="4"/>
    <x v="18"/>
    <x v="20"/>
    <n v="0.30173782329554233"/>
    <n v="6.0898532475495704E-3"/>
    <s v="Modrate Risk"/>
  </r>
  <r>
    <x v="21"/>
    <x v="21"/>
    <n v="294"/>
    <n v="4930"/>
    <n v="5274"/>
    <n v="3278650"/>
    <x v="1"/>
    <x v="19"/>
    <x v="21"/>
    <n v="0.46961325966850831"/>
    <n v="3.2019276226495663E-3"/>
    <s v="Modrate Risk"/>
  </r>
  <r>
    <x v="22"/>
    <x v="22"/>
    <n v="2"/>
    <n v="63"/>
    <n v="674"/>
    <n v="2356075"/>
    <x v="2"/>
    <x v="20"/>
    <x v="22"/>
    <n v="8.5250338294993233E-2"/>
    <n v="3.1365724775314879E-4"/>
    <s v="Low Risk"/>
  </r>
  <r>
    <x v="23"/>
    <x v="23"/>
    <n v="87618"/>
    <n v="1846641"/>
    <n v="508116"/>
    <n v="212710692"/>
    <x v="4"/>
    <x v="21"/>
    <x v="23"/>
    <n v="0.75608413941348074"/>
    <n v="1.1482144959596107E-2"/>
    <s v="Modrate Risk"/>
  </r>
  <r>
    <x v="24"/>
    <x v="24"/>
    <n v="3"/>
    <n v="138"/>
    <n v="0"/>
    <n v="437893"/>
    <x v="0"/>
    <x v="1"/>
    <x v="24"/>
    <n v="0.97872340425531912"/>
    <n v="3.2199646945715047E-4"/>
    <s v="Modrate Risk"/>
  </r>
  <r>
    <x v="25"/>
    <x v="25"/>
    <n v="347"/>
    <n v="5585"/>
    <n v="4689"/>
    <n v="6942854"/>
    <x v="1"/>
    <x v="12"/>
    <x v="25"/>
    <n v="0.52584502400903865"/>
    <n v="1.5297743550418891E-3"/>
    <s v="Modrate Risk"/>
  </r>
  <r>
    <x v="26"/>
    <x v="26"/>
    <n v="53"/>
    <n v="926"/>
    <n v="121"/>
    <n v="20954852"/>
    <x v="2"/>
    <x v="1"/>
    <x v="26"/>
    <n v="0.8418181818181818"/>
    <n v="5.2493809071044739E-5"/>
    <s v="Modrate Risk"/>
  </r>
  <r>
    <x v="27"/>
    <x v="27"/>
    <n v="6"/>
    <n v="292"/>
    <n v="52"/>
    <n v="54446389"/>
    <x v="0"/>
    <x v="15"/>
    <x v="27"/>
    <n v="0.8342857142857143"/>
    <n v="6.4283418318155129E-6"/>
    <s v="Low Risk"/>
  </r>
  <r>
    <x v="28"/>
    <x v="28"/>
    <n v="1"/>
    <n v="301"/>
    <n v="76"/>
    <n v="11922216"/>
    <x v="2"/>
    <x v="22"/>
    <x v="28"/>
    <n v="0.79629629629629628"/>
    <n v="3.1705515149197092E-5"/>
    <s v="Low Risk"/>
  </r>
  <r>
    <x v="29"/>
    <x v="29"/>
    <n v="22"/>
    <n v="1550"/>
    <n v="756"/>
    <n v="556581"/>
    <x v="2"/>
    <x v="23"/>
    <x v="29"/>
    <n v="0.66580756013745701"/>
    <n v="4.1826796099759065E-3"/>
    <s v="Low Risk"/>
  </r>
  <r>
    <x v="30"/>
    <x v="30"/>
    <n v="0"/>
    <n v="147"/>
    <n v="79"/>
    <n v="16741375"/>
    <x v="0"/>
    <x v="24"/>
    <x v="19"/>
    <n v="0.65044247787610621"/>
    <n v="1.349948854260776E-5"/>
    <s v="Low Risk"/>
  </r>
  <r>
    <x v="31"/>
    <x v="31"/>
    <n v="391"/>
    <n v="14539"/>
    <n v="2180"/>
    <n v="26606188"/>
    <x v="2"/>
    <x v="17"/>
    <x v="30"/>
    <n v="0.84973699590882523"/>
    <n v="6.4308348118114476E-4"/>
    <s v="Modrate Risk"/>
  </r>
  <r>
    <x v="32"/>
    <x v="32"/>
    <n v="8944"/>
    <n v="0"/>
    <n v="107514"/>
    <n v="37775022"/>
    <x v="3"/>
    <x v="8"/>
    <x v="31"/>
    <n v="0"/>
    <n v="3.0829366558674672E-3"/>
    <s v="High Risk"/>
  </r>
  <r>
    <x v="33"/>
    <x v="33"/>
    <n v="59"/>
    <n v="1546"/>
    <n v="2994"/>
    <n v="4837752"/>
    <x v="2"/>
    <x v="25"/>
    <x v="32"/>
    <n v="0.33616003479017176"/>
    <n v="9.5064815228229974E-4"/>
    <s v="Low Risk"/>
  </r>
  <r>
    <x v="34"/>
    <x v="34"/>
    <n v="75"/>
    <n v="810"/>
    <n v="37"/>
    <n v="17224679"/>
    <x v="2"/>
    <x v="26"/>
    <x v="33"/>
    <n v="0.87852494577006512"/>
    <n v="5.3527848037110008E-5"/>
    <s v="High Risk"/>
  </r>
  <r>
    <x v="35"/>
    <x v="35"/>
    <n v="9187"/>
    <n v="319954"/>
    <n v="18782"/>
    <n v="19132514"/>
    <x v="4"/>
    <x v="6"/>
    <x v="34"/>
    <n v="0.91961152323933748"/>
    <n v="1.8184907639424697E-2"/>
    <s v="Modrate Risk"/>
  </r>
  <r>
    <x v="36"/>
    <x v="36"/>
    <n v="4656"/>
    <n v="78869"/>
    <n v="3258"/>
    <n v="1411778724"/>
    <x v="2"/>
    <x v="27"/>
    <x v="35"/>
    <n v="0.90880702441722461"/>
    <n v="6.1470681293536756E-5"/>
    <s v="High Risk"/>
  </r>
  <r>
    <x v="37"/>
    <x v="37"/>
    <n v="8777"/>
    <n v="131161"/>
    <n v="117163"/>
    <n v="50936262"/>
    <x v="4"/>
    <x v="17"/>
    <x v="36"/>
    <n v="0.51015359722443709"/>
    <n v="5.0475042711222119E-3"/>
    <s v="Modrate Risk"/>
  </r>
  <r>
    <x v="38"/>
    <x v="38"/>
    <n v="7"/>
    <n v="328"/>
    <n v="19"/>
    <n v="871326"/>
    <x v="2"/>
    <x v="28"/>
    <x v="18"/>
    <n v="0.92655367231638419"/>
    <n v="4.0627732903643414E-4"/>
    <s v="Low Risk"/>
  </r>
  <r>
    <x v="39"/>
    <x v="39"/>
    <n v="54"/>
    <n v="829"/>
    <n v="2317"/>
    <n v="5530506"/>
    <x v="2"/>
    <x v="25"/>
    <x v="37"/>
    <n v="0.25906249999999997"/>
    <n v="5.7860890124701071E-4"/>
    <s v="Low Risk"/>
  </r>
  <r>
    <x v="40"/>
    <x v="40"/>
    <n v="208"/>
    <n v="5700"/>
    <n v="2936"/>
    <n v="96076573"/>
    <x v="2"/>
    <x v="18"/>
    <x v="38"/>
    <n v="0.64450474898236088"/>
    <n v="9.2051576402501362E-5"/>
    <s v="Modrate Risk"/>
  </r>
  <r>
    <x v="41"/>
    <x v="41"/>
    <n v="115"/>
    <n v="3824"/>
    <n v="11902"/>
    <n v="5098730"/>
    <x v="3"/>
    <x v="17"/>
    <x v="39"/>
    <n v="0.24139890158449592"/>
    <n v="3.1068520984637352E-3"/>
    <s v="Low Risk"/>
  </r>
  <r>
    <x v="42"/>
    <x v="42"/>
    <n v="96"/>
    <n v="10361"/>
    <n v="5198"/>
    <n v="26172000"/>
    <x v="2"/>
    <x v="29"/>
    <x v="40"/>
    <n v="0.66183328010220377"/>
    <n v="5.9815833715421058E-4"/>
    <s v="Low Risk"/>
  </r>
  <r>
    <x v="43"/>
    <x v="43"/>
    <n v="139"/>
    <n v="3936"/>
    <n v="806"/>
    <n v="4102577"/>
    <x v="1"/>
    <x v="2"/>
    <x v="41"/>
    <n v="0.80639213275968036"/>
    <n v="1.1897400097548444E-3"/>
    <s v="Modrate Risk"/>
  </r>
  <r>
    <x v="44"/>
    <x v="44"/>
    <n v="87"/>
    <n v="2351"/>
    <n v="94"/>
    <n v="11325899"/>
    <x v="3"/>
    <x v="29"/>
    <x v="42"/>
    <n v="0.92851500789889418"/>
    <n v="2.2355841244920161E-4"/>
    <s v="Modrate Risk"/>
  </r>
  <r>
    <x v="45"/>
    <x v="45"/>
    <n v="19"/>
    <n v="852"/>
    <n v="189"/>
    <n v="1208238"/>
    <x v="0"/>
    <x v="1"/>
    <x v="43"/>
    <n v="0.80377358490566042"/>
    <n v="8.7731059609116749E-4"/>
    <s v="Low Risk"/>
  </r>
  <r>
    <x v="46"/>
    <x v="46"/>
    <n v="373"/>
    <n v="11428"/>
    <n v="3715"/>
    <n v="10711019"/>
    <x v="1"/>
    <x v="7"/>
    <x v="44"/>
    <n v="0.7365300335137922"/>
    <n v="1.4486016689915311E-3"/>
    <s v="Modrate Risk"/>
  </r>
  <r>
    <x v="47"/>
    <x v="47"/>
    <n v="613"/>
    <n v="12605"/>
    <n v="543"/>
    <n v="5794279"/>
    <x v="1"/>
    <x v="30"/>
    <x v="45"/>
    <n v="0.91599447714555626"/>
    <n v="2.3749287875160997E-3"/>
    <s v="Modrate Risk"/>
  </r>
  <r>
    <x v="48"/>
    <x v="48"/>
    <n v="58"/>
    <n v="4977"/>
    <n v="24"/>
    <n v="989387"/>
    <x v="2"/>
    <x v="31"/>
    <x v="46"/>
    <n v="0.98379126309547338"/>
    <n v="5.1132671037723357E-3"/>
    <s v="Low Risk"/>
  </r>
  <r>
    <x v="49"/>
    <x v="49"/>
    <n v="0"/>
    <n v="18"/>
    <n v="0"/>
    <n v="72004"/>
    <x v="3"/>
    <x v="32"/>
    <x v="19"/>
    <n v="1"/>
    <n v="2.4998611188267316E-4"/>
    <s v="Low Risk"/>
  </r>
  <r>
    <x v="50"/>
    <x v="50"/>
    <n v="1083"/>
    <n v="30204"/>
    <n v="32869"/>
    <n v="10858648"/>
    <x v="3"/>
    <x v="7"/>
    <x v="47"/>
    <n v="0.47078994949809838"/>
    <n v="5.9082861881147638E-3"/>
    <s v="Low Risk"/>
  </r>
  <r>
    <x v="51"/>
    <x v="51"/>
    <n v="5532"/>
    <n v="34896"/>
    <n v="40733"/>
    <n v="17668824"/>
    <x v="4"/>
    <x v="33"/>
    <x v="48"/>
    <n v="0.42996020256034301"/>
    <n v="4.5934579460410038E-3"/>
    <s v="High Risk"/>
  </r>
  <r>
    <x v="52"/>
    <x v="52"/>
    <n v="4652"/>
    <n v="34838"/>
    <n v="52992"/>
    <n v="102516525"/>
    <x v="2"/>
    <x v="34"/>
    <x v="49"/>
    <n v="0.37670033087519733"/>
    <n v="9.0211797561417541E-4"/>
    <s v="High Risk"/>
  </r>
  <r>
    <x v="53"/>
    <x v="53"/>
    <n v="408"/>
    <n v="7778"/>
    <n v="6849"/>
    <n v="6489514"/>
    <x v="3"/>
    <x v="26"/>
    <x v="50"/>
    <n v="0.51732623877618888"/>
    <n v="2.3168144794818227E-3"/>
    <s v="Modrate Risk"/>
  </r>
  <r>
    <x v="54"/>
    <x v="54"/>
    <n v="51"/>
    <n v="842"/>
    <n v="2178"/>
    <n v="1407001"/>
    <x v="2"/>
    <x v="25"/>
    <x v="51"/>
    <n v="0.27417779225008143"/>
    <n v="2.1826565865980196E-3"/>
    <s v="Low Risk"/>
  </r>
  <r>
    <x v="55"/>
    <x v="55"/>
    <n v="0"/>
    <n v="191"/>
    <n v="74"/>
    <n v="3551175"/>
    <x v="2"/>
    <x v="4"/>
    <x v="19"/>
    <n v="0.72075471698113203"/>
    <n v="7.4623188099713479E-5"/>
    <s v="Low Risk"/>
  </r>
  <r>
    <x v="56"/>
    <x v="56"/>
    <n v="69"/>
    <n v="1923"/>
    <n v="42"/>
    <n v="1326627"/>
    <x v="1"/>
    <x v="30"/>
    <x v="52"/>
    <n v="0.94542772861356927"/>
    <n v="1.5332116714042456E-3"/>
    <s v="Modrate Risk"/>
  </r>
  <r>
    <x v="57"/>
    <x v="57"/>
    <n v="34"/>
    <n v="1025"/>
    <n v="1257"/>
    <n v="1161348"/>
    <x v="2"/>
    <x v="25"/>
    <x v="53"/>
    <n v="0.442573402417962"/>
    <n v="1.9942342863637774E-3"/>
    <s v="Low Risk"/>
  </r>
  <r>
    <x v="58"/>
    <x v="58"/>
    <n v="228"/>
    <n v="6386"/>
    <n v="7933"/>
    <n v="115223736"/>
    <x v="2"/>
    <x v="5"/>
    <x v="54"/>
    <n v="0.43899085722142023"/>
    <n v="1.2625002890029533E-4"/>
    <s v="Low Risk"/>
  </r>
  <r>
    <x v="59"/>
    <x v="59"/>
    <n v="0"/>
    <n v="18"/>
    <n v="9"/>
    <n v="897095"/>
    <x v="5"/>
    <x v="26"/>
    <x v="19"/>
    <n v="0.66666666666666663"/>
    <n v="3.0097146901944609E-5"/>
    <s v="Low Risk"/>
  </r>
  <r>
    <x v="60"/>
    <x v="60"/>
    <n v="329"/>
    <n v="6920"/>
    <n v="149"/>
    <n v="5541604"/>
    <x v="1"/>
    <x v="21"/>
    <x v="55"/>
    <n v="0.93538794268721281"/>
    <n v="1.334992540066017E-3"/>
    <s v="Modrate Risk"/>
  </r>
  <r>
    <x v="61"/>
    <x v="61"/>
    <n v="30212"/>
    <n v="81212"/>
    <n v="108928"/>
    <n v="65288306"/>
    <x v="1"/>
    <x v="35"/>
    <x v="56"/>
    <n v="0.36855576532094103"/>
    <n v="3.3750607650932158E-3"/>
    <s v="High Risk"/>
  </r>
  <r>
    <x v="62"/>
    <x v="62"/>
    <n v="49"/>
    <n v="4682"/>
    <n v="2458"/>
    <n v="2230563"/>
    <x v="2"/>
    <x v="36"/>
    <x v="57"/>
    <n v="0.65127277785505633"/>
    <n v="3.2229531288737417E-3"/>
    <s v="Low Risk"/>
  </r>
  <r>
    <x v="63"/>
    <x v="63"/>
    <n v="8"/>
    <n v="66"/>
    <n v="252"/>
    <n v="2422754"/>
    <x v="2"/>
    <x v="13"/>
    <x v="58"/>
    <n v="0.20245398773006135"/>
    <n v="1.345576150116768E-4"/>
    <s v="Modrate Risk"/>
  </r>
  <r>
    <x v="64"/>
    <x v="64"/>
    <n v="16"/>
    <n v="922"/>
    <n v="199"/>
    <n v="3988368"/>
    <x v="0"/>
    <x v="21"/>
    <x v="59"/>
    <n v="0.81090589270008795"/>
    <n v="2.8507900976038319E-4"/>
    <s v="Low Risk"/>
  </r>
  <r>
    <x v="65"/>
    <x v="65"/>
    <n v="9125"/>
    <n v="190314"/>
    <n v="7673"/>
    <n v="83811260"/>
    <x v="1"/>
    <x v="24"/>
    <x v="60"/>
    <n v="0.91889412491791878"/>
    <n v="2.4711715347078664E-3"/>
    <s v="Modrate Risk"/>
  </r>
  <r>
    <x v="66"/>
    <x v="66"/>
    <n v="168"/>
    <n v="29801"/>
    <n v="3655"/>
    <n v="31133483"/>
    <x v="2"/>
    <x v="36"/>
    <x v="61"/>
    <n v="0.88630145134427785"/>
    <n v="1.0799948081620036E-3"/>
    <s v="Low Risk"/>
  </r>
  <r>
    <x v="67"/>
    <x v="67"/>
    <n v="202"/>
    <n v="1374"/>
    <n v="2651"/>
    <n v="10417673"/>
    <x v="1"/>
    <x v="21"/>
    <x v="62"/>
    <n v="0.32505322924059615"/>
    <n v="4.0575280103339776E-4"/>
    <s v="Modrate Risk"/>
  </r>
  <r>
    <x v="68"/>
    <x v="68"/>
    <n v="0"/>
    <n v="13"/>
    <n v="1"/>
    <n v="56780"/>
    <x v="3"/>
    <x v="12"/>
    <x v="19"/>
    <n v="0.9285714285714286"/>
    <n v="2.4656569214512151E-4"/>
    <s v="Low Risk"/>
  </r>
  <r>
    <x v="69"/>
    <x v="69"/>
    <n v="0"/>
    <n v="23"/>
    <n v="0"/>
    <n v="112576"/>
    <x v="3"/>
    <x v="32"/>
    <x v="19"/>
    <n v="1"/>
    <n v="2.0430642410460489E-4"/>
    <s v="Low Risk"/>
  </r>
  <r>
    <x v="70"/>
    <x v="70"/>
    <n v="1761"/>
    <n v="32455"/>
    <n v="11093"/>
    <n v="17946899"/>
    <x v="3"/>
    <x v="5"/>
    <x v="63"/>
    <n v="0.71630360414045779"/>
    <n v="2.5246144194604318E-3"/>
    <s v="Modrate Risk"/>
  </r>
  <r>
    <x v="71"/>
    <x v="71"/>
    <n v="45"/>
    <n v="6257"/>
    <n v="753"/>
    <n v="13164905"/>
    <x v="2"/>
    <x v="5"/>
    <x v="64"/>
    <n v="0.88688873139617297"/>
    <n v="5.3589448613567661E-4"/>
    <s v="Low Risk"/>
  </r>
  <r>
    <x v="72"/>
    <x v="72"/>
    <n v="26"/>
    <n v="803"/>
    <n v="1125"/>
    <n v="1972277"/>
    <x v="2"/>
    <x v="37"/>
    <x v="65"/>
    <n v="0.41095189355168882"/>
    <n v="9.907330461187754E-4"/>
    <s v="Low Risk"/>
  </r>
  <r>
    <x v="73"/>
    <x v="73"/>
    <n v="20"/>
    <n v="181"/>
    <n v="188"/>
    <n v="786936"/>
    <x v="4"/>
    <x v="36"/>
    <x v="66"/>
    <n v="0.4652956298200514"/>
    <n v="4.943222828794209E-4"/>
    <s v="High Risk"/>
  </r>
  <r>
    <x v="74"/>
    <x v="74"/>
    <n v="158"/>
    <n v="4365"/>
    <n v="2817"/>
    <n v="11416103"/>
    <x v="3"/>
    <x v="26"/>
    <x v="67"/>
    <n v="0.59468664850136244"/>
    <n v="6.4295145199723587E-4"/>
    <s v="Modrate Risk"/>
  </r>
  <r>
    <x v="75"/>
    <x v="75"/>
    <n v="0"/>
    <n v="12"/>
    <n v="0"/>
    <n v="528"/>
    <x v="1"/>
    <x v="32"/>
    <x v="19"/>
    <n v="1"/>
    <n v="2.2727272727272728E-2"/>
    <s v="Low Risk"/>
  </r>
  <r>
    <x v="76"/>
    <x v="76"/>
    <n v="1166"/>
    <n v="5039"/>
    <n v="33536"/>
    <n v="10012084"/>
    <x v="3"/>
    <x v="13"/>
    <x v="68"/>
    <n v="0.12679600412672051"/>
    <n v="3.9693034936582631E-3"/>
    <s v="Modrate Risk"/>
  </r>
  <r>
    <x v="77"/>
    <x v="77"/>
    <n v="596"/>
    <n v="3329"/>
    <n v="523"/>
    <n v="9657785"/>
    <x v="1"/>
    <x v="38"/>
    <x v="69"/>
    <n v="0.74842625899280579"/>
    <n v="4.6056109138896753E-4"/>
    <s v="High Risk"/>
  </r>
  <r>
    <x v="78"/>
    <x v="78"/>
    <n v="10"/>
    <n v="1823"/>
    <n v="21"/>
    <n v="341465"/>
    <x v="1"/>
    <x v="9"/>
    <x v="70"/>
    <n v="0.98327939590075508"/>
    <n v="5.4295462199639788E-3"/>
    <s v="Low Risk"/>
  </r>
  <r>
    <x v="79"/>
    <x v="79"/>
    <n v="33408"/>
    <n v="951166"/>
    <n v="495499"/>
    <n v="1381344997"/>
    <x v="0"/>
    <x v="39"/>
    <x v="71"/>
    <n v="0.64264803154979522"/>
    <n v="1.0714723716482247E-3"/>
    <s v="Modrate Risk"/>
  </r>
  <r>
    <x v="80"/>
    <x v="80"/>
    <n v="4838"/>
    <n v="58173"/>
    <n v="37292"/>
    <n v="273808365"/>
    <x v="0"/>
    <x v="3"/>
    <x v="72"/>
    <n v="0.57997268277120329"/>
    <n v="3.6632555035343787E-4"/>
    <s v="Modrate Risk"/>
  </r>
  <r>
    <x v="81"/>
    <x v="81"/>
    <n v="15912"/>
    <n v="255144"/>
    <n v="22550"/>
    <n v="84097623"/>
    <x v="0"/>
    <x v="40"/>
    <x v="73"/>
    <n v="0.86900131468702957"/>
    <n v="3.4912520654715772E-3"/>
    <s v="High Risk"/>
  </r>
  <r>
    <x v="82"/>
    <x v="82"/>
    <n v="4458"/>
    <n v="77144"/>
    <n v="30983"/>
    <n v="40306025"/>
    <x v="0"/>
    <x v="41"/>
    <x v="74"/>
    <n v="0.68520673269085575"/>
    <n v="2.7932548545781927E-3"/>
    <s v="Modrate Risk"/>
  </r>
  <r>
    <x v="83"/>
    <x v="83"/>
    <n v="1764"/>
    <n v="23364"/>
    <n v="764"/>
    <n v="4943200"/>
    <x v="1"/>
    <x v="33"/>
    <x v="75"/>
    <n v="0.90236366445234051"/>
    <n v="5.2379025732319142E-3"/>
    <s v="High Risk"/>
  </r>
  <r>
    <x v="84"/>
    <x v="84"/>
    <n v="474"/>
    <n v="27133"/>
    <n v="36378"/>
    <n v="9197590"/>
    <x v="0"/>
    <x v="11"/>
    <x v="76"/>
    <n v="0.42405251230757207"/>
    <n v="6.9567136608611607E-3"/>
    <s v="Low Risk"/>
  </r>
  <r>
    <x v="85"/>
    <x v="85"/>
    <n v="35112"/>
    <n v="198593"/>
    <n v="12581"/>
    <n v="60452568"/>
    <x v="1"/>
    <x v="42"/>
    <x v="77"/>
    <n v="0.80635115272488078"/>
    <n v="4.0740370202304726E-3"/>
    <s v="High Risk"/>
  </r>
  <r>
    <x v="86"/>
    <x v="86"/>
    <n v="10"/>
    <n v="714"/>
    <n v="129"/>
    <n v="2962478"/>
    <x v="3"/>
    <x v="18"/>
    <x v="78"/>
    <n v="0.83704572098475971"/>
    <n v="2.8793462770018881E-4"/>
    <s v="Low Risk"/>
  </r>
  <r>
    <x v="87"/>
    <x v="87"/>
    <n v="998"/>
    <n v="21970"/>
    <n v="8174"/>
    <n v="126435859"/>
    <x v="0"/>
    <x v="43"/>
    <x v="79"/>
    <n v="0.70547813242566304"/>
    <n v="2.4630670639094564E-4"/>
    <s v="Modrate Risk"/>
  </r>
  <r>
    <x v="88"/>
    <x v="88"/>
    <n v="11"/>
    <n v="1041"/>
    <n v="124"/>
    <n v="10213138"/>
    <x v="0"/>
    <x v="3"/>
    <x v="80"/>
    <n v="0.88520408163265307"/>
    <n v="1.1514580533426651E-4"/>
    <s v="Low Risk"/>
  </r>
  <r>
    <x v="89"/>
    <x v="89"/>
    <n v="585"/>
    <n v="54404"/>
    <n v="29659"/>
    <n v="18798667"/>
    <x v="0"/>
    <x v="5"/>
    <x v="81"/>
    <n v="0.64270862867403833"/>
    <n v="4.5028724643082409E-3"/>
    <s v="Low Risk"/>
  </r>
  <r>
    <x v="90"/>
    <x v="90"/>
    <n v="285"/>
    <n v="7833"/>
    <n v="9857"/>
    <n v="53881160"/>
    <x v="2"/>
    <x v="5"/>
    <x v="82"/>
    <n v="0.4357719054242003"/>
    <n v="3.3360454748932648E-4"/>
    <s v="Low Risk"/>
  </r>
  <r>
    <x v="91"/>
    <x v="91"/>
    <n v="185"/>
    <n v="4027"/>
    <n v="3201"/>
    <n v="1790152"/>
    <x v="1"/>
    <x v="5"/>
    <x v="83"/>
    <n v="0.54323485768244972"/>
    <n v="4.1409891450558392E-3"/>
    <s v="Modrate Risk"/>
  </r>
  <r>
    <x v="92"/>
    <x v="92"/>
    <n v="438"/>
    <n v="55057"/>
    <n v="8884"/>
    <n v="4276658"/>
    <x v="0"/>
    <x v="0"/>
    <x v="84"/>
    <n v="0.85520123021482164"/>
    <n v="1.5053576881761413E-2"/>
    <s v="Low Risk"/>
  </r>
  <r>
    <x v="93"/>
    <x v="93"/>
    <n v="1301"/>
    <n v="21205"/>
    <n v="10790"/>
    <n v="6534479"/>
    <x v="0"/>
    <x v="31"/>
    <x v="85"/>
    <n v="0.63686328688130711"/>
    <n v="5.0954330100379842E-3"/>
    <s v="Modrate Risk"/>
  </r>
  <r>
    <x v="94"/>
    <x v="94"/>
    <n v="0"/>
    <n v="19"/>
    <n v="1"/>
    <n v="7285750"/>
    <x v="0"/>
    <x v="44"/>
    <x v="19"/>
    <n v="0.95"/>
    <n v="2.7450845829187114E-6"/>
    <s v="Low Risk"/>
  </r>
  <r>
    <x v="95"/>
    <x v="95"/>
    <n v="31"/>
    <n v="1045"/>
    <n v="143"/>
    <n v="1883936"/>
    <x v="1"/>
    <x v="3"/>
    <x v="86"/>
    <n v="0.85726004922067267"/>
    <n v="6.4704958130212494E-4"/>
    <s v="Modrate Risk"/>
  </r>
  <r>
    <x v="96"/>
    <x v="96"/>
    <n v="51"/>
    <n v="1709"/>
    <n v="2122"/>
    <n v="6822220"/>
    <x v="0"/>
    <x v="11"/>
    <x v="87"/>
    <n v="0.44023699124162802"/>
    <n v="5.6902298665243865E-4"/>
    <s v="Low Risk"/>
  </r>
  <r>
    <x v="97"/>
    <x v="97"/>
    <n v="12"/>
    <n v="128"/>
    <n v="365"/>
    <n v="2143943"/>
    <x v="2"/>
    <x v="45"/>
    <x v="88"/>
    <n v="0.25346534653465347"/>
    <n v="2.3554730699463559E-4"/>
    <s v="Modrate Risk"/>
  </r>
  <r>
    <x v="98"/>
    <x v="98"/>
    <n v="72"/>
    <n v="646"/>
    <n v="449"/>
    <n v="5068618"/>
    <x v="2"/>
    <x v="16"/>
    <x v="89"/>
    <n v="0.55355612682090827"/>
    <n v="2.3024027456793942E-4"/>
    <s v="High Risk"/>
  </r>
  <r>
    <x v="99"/>
    <x v="99"/>
    <n v="64"/>
    <n v="577"/>
    <n v="2186"/>
    <n v="6880353"/>
    <x v="2"/>
    <x v="44"/>
    <x v="90"/>
    <n v="0.20410328970640254"/>
    <n v="4.1088008129815432E-4"/>
    <s v="Modrate Risk"/>
  </r>
  <r>
    <x v="100"/>
    <x v="5"/>
    <n v="1"/>
    <n v="81"/>
    <n v="4"/>
    <n v="38139"/>
    <x v="1"/>
    <x v="6"/>
    <x v="91"/>
    <n v="0.94186046511627908"/>
    <n v="2.2549096725136999E-3"/>
    <s v="Low Risk"/>
  </r>
  <r>
    <x v="101"/>
    <x v="100"/>
    <n v="80"/>
    <n v="1620"/>
    <n v="319"/>
    <n v="2718121"/>
    <x v="1"/>
    <x v="9"/>
    <x v="92"/>
    <n v="0.80237741456166423"/>
    <n v="7.4279253940497862E-4"/>
    <s v="Modrate Risk"/>
  </r>
  <r>
    <x v="102"/>
    <x v="101"/>
    <n v="112"/>
    <n v="4825"/>
    <n v="1384"/>
    <n v="626952"/>
    <x v="1"/>
    <x v="33"/>
    <x v="93"/>
    <n v="0.763328587248853"/>
    <n v="1.0082111549209509E-2"/>
    <s v="Low Risk"/>
  </r>
  <r>
    <x v="103"/>
    <x v="102"/>
    <n v="91"/>
    <n v="6260"/>
    <n v="3339"/>
    <n v="27755708"/>
    <x v="2"/>
    <x v="23"/>
    <x v="94"/>
    <n v="0.6460268317853457"/>
    <n v="3.491173779461868E-4"/>
    <s v="Low Risk"/>
  </r>
  <r>
    <x v="104"/>
    <x v="103"/>
    <n v="99"/>
    <n v="1645"/>
    <n v="1920"/>
    <n v="19174839"/>
    <x v="2"/>
    <x v="46"/>
    <x v="95"/>
    <n v="0.44896288209606988"/>
    <n v="1.910837426066524E-4"/>
    <s v="Modrate Risk"/>
  </r>
  <r>
    <x v="105"/>
    <x v="104"/>
    <n v="124"/>
    <n v="8601"/>
    <n v="179"/>
    <n v="32406372"/>
    <x v="0"/>
    <x v="8"/>
    <x v="96"/>
    <n v="0.96597035040431267"/>
    <n v="2.7476077852837093E-4"/>
    <s v="Low Risk"/>
  </r>
  <r>
    <x v="106"/>
    <x v="105"/>
    <n v="15"/>
    <n v="2547"/>
    <n v="807"/>
    <n v="541448"/>
    <x v="0"/>
    <x v="47"/>
    <x v="97"/>
    <n v="0.75601068566340157"/>
    <n v="6.2222041636500643E-3"/>
    <s v="Low Risk"/>
  </r>
  <r>
    <x v="107"/>
    <x v="106"/>
    <n v="124"/>
    <n v="1913"/>
    <n v="476"/>
    <n v="20302901"/>
    <x v="2"/>
    <x v="37"/>
    <x v="98"/>
    <n v="0.76124154397134902"/>
    <n v="1.2377541514880066E-4"/>
    <s v="Modrate Risk"/>
  </r>
  <r>
    <x v="108"/>
    <x v="107"/>
    <n v="9"/>
    <n v="665"/>
    <n v="27"/>
    <n v="441663"/>
    <x v="1"/>
    <x v="47"/>
    <x v="99"/>
    <n v="0.94864479315263905"/>
    <n v="1.5871829879342395E-3"/>
    <s v="Low Risk"/>
  </r>
  <r>
    <x v="109"/>
    <x v="108"/>
    <n v="156"/>
    <n v="4653"/>
    <n v="1399"/>
    <n v="4660728"/>
    <x v="2"/>
    <x v="5"/>
    <x v="100"/>
    <n v="0.74951675257731953"/>
    <n v="1.3319807549378553E-3"/>
    <s v="Modrate Risk"/>
  </r>
  <r>
    <x v="110"/>
    <x v="109"/>
    <n v="10"/>
    <n v="332"/>
    <n v="2"/>
    <n v="1271985"/>
    <x v="2"/>
    <x v="31"/>
    <x v="101"/>
    <n v="0.96511627906976749"/>
    <n v="2.7044344076384549E-4"/>
    <s v="Modrate Risk"/>
  </r>
  <r>
    <x v="111"/>
    <x v="110"/>
    <n v="44022"/>
    <n v="303810"/>
    <n v="47657"/>
    <n v="129066160"/>
    <x v="3"/>
    <x v="9"/>
    <x v="102"/>
    <n v="0.7681882429094109"/>
    <n v="3.0642346529872739E-3"/>
    <s v="High Risk"/>
  </r>
  <r>
    <x v="112"/>
    <x v="111"/>
    <n v="748"/>
    <n v="16154"/>
    <n v="6252"/>
    <n v="4032983"/>
    <x v="1"/>
    <x v="47"/>
    <x v="103"/>
    <n v="0.69767642739915348"/>
    <n v="5.7411598313208854E-3"/>
    <s v="Modrate Risk"/>
  </r>
  <r>
    <x v="113"/>
    <x v="112"/>
    <n v="4"/>
    <n v="104"/>
    <n v="8"/>
    <n v="39270"/>
    <x v="1"/>
    <x v="33"/>
    <x v="104"/>
    <n v="0.89655172413793105"/>
    <n v="2.9539088362617776E-3"/>
    <s v="Modrate Risk"/>
  </r>
  <r>
    <x v="114"/>
    <x v="113"/>
    <n v="0"/>
    <n v="222"/>
    <n v="67"/>
    <n v="3283344"/>
    <x v="0"/>
    <x v="18"/>
    <x v="19"/>
    <n v="0.76816608996539792"/>
    <n v="8.8020018615167948E-5"/>
    <s v="Low Risk"/>
  </r>
  <r>
    <x v="115"/>
    <x v="114"/>
    <n v="45"/>
    <n v="809"/>
    <n v="2039"/>
    <n v="628074"/>
    <x v="1"/>
    <x v="13"/>
    <x v="105"/>
    <n v="0.27964051157967507"/>
    <n v="4.6061451357642573E-3"/>
    <s v="Low Risk"/>
  </r>
  <r>
    <x v="116"/>
    <x v="115"/>
    <n v="316"/>
    <n v="16553"/>
    <n v="4018"/>
    <n v="36953359"/>
    <x v="2"/>
    <x v="3"/>
    <x v="106"/>
    <n v="0.79250251352515921"/>
    <n v="5.6522601910153822E-4"/>
    <s v="Low Risk"/>
  </r>
  <r>
    <x v="117"/>
    <x v="116"/>
    <n v="11"/>
    <n v="0"/>
    <n v="1690"/>
    <n v="31333962"/>
    <x v="2"/>
    <x v="32"/>
    <x v="107"/>
    <n v="0"/>
    <n v="5.4286144854583022E-5"/>
    <s v="Low Risk"/>
  </r>
  <r>
    <x v="118"/>
    <x v="117"/>
    <n v="8"/>
    <n v="101"/>
    <n v="1734"/>
    <n v="2545264"/>
    <x v="2"/>
    <x v="25"/>
    <x v="108"/>
    <n v="5.4801953336950621E-2"/>
    <n v="7.2408991758811663E-4"/>
    <s v="Low Risk"/>
  </r>
  <r>
    <x v="119"/>
    <x v="118"/>
    <n v="48"/>
    <n v="13754"/>
    <n v="4950"/>
    <n v="29186486"/>
    <x v="0"/>
    <x v="48"/>
    <x v="109"/>
    <n v="0.73346843003412965"/>
    <n v="6.4248913007204774E-4"/>
    <s v="Low Risk"/>
  </r>
  <r>
    <x v="120"/>
    <x v="119"/>
    <n v="6160"/>
    <n v="189"/>
    <n v="47064"/>
    <n v="17138756"/>
    <x v="1"/>
    <x v="30"/>
    <x v="110"/>
    <n v="3.5384644187744555E-3"/>
    <n v="3.1165039049508613E-3"/>
    <s v="High Risk"/>
  </r>
  <r>
    <x v="121"/>
    <x v="120"/>
    <n v="22"/>
    <n v="1514"/>
    <n v="21"/>
    <n v="5002100"/>
    <x v="5"/>
    <x v="9"/>
    <x v="111"/>
    <n v="0.97238278741168915"/>
    <n v="3.112692669078987E-4"/>
    <s v="Low Risk"/>
  </r>
  <r>
    <x v="122"/>
    <x v="121"/>
    <n v="108"/>
    <n v="2492"/>
    <n v="839"/>
    <n v="6632263"/>
    <x v="3"/>
    <x v="31"/>
    <x v="112"/>
    <n v="0.72462925268973544"/>
    <n v="5.1852587872344626E-4"/>
    <s v="Modrate Risk"/>
  </r>
  <r>
    <x v="123"/>
    <x v="122"/>
    <n v="69"/>
    <n v="1027"/>
    <n v="36"/>
    <n v="24281433"/>
    <x v="2"/>
    <x v="26"/>
    <x v="113"/>
    <n v="0.90724381625441697"/>
    <n v="4.6619983260460779E-5"/>
    <s v="High Risk"/>
  </r>
  <r>
    <x v="124"/>
    <x v="123"/>
    <n v="860"/>
    <n v="18203"/>
    <n v="22117"/>
    <n v="206606300"/>
    <x v="2"/>
    <x v="30"/>
    <x v="114"/>
    <n v="0.44203496843127732"/>
    <n v="1.9931628415977636E-4"/>
    <s v="Modrate Risk"/>
  </r>
  <r>
    <x v="125"/>
    <x v="124"/>
    <n v="466"/>
    <n v="5564"/>
    <n v="4183"/>
    <n v="2083365"/>
    <x v="1"/>
    <x v="21"/>
    <x v="115"/>
    <n v="0.54479584842847351"/>
    <n v="4.9021654870845966E-3"/>
    <s v="Modrate Risk"/>
  </r>
  <r>
    <x v="126"/>
    <x v="125"/>
    <n v="255"/>
    <n v="8752"/>
    <n v="125"/>
    <n v="5425471"/>
    <x v="1"/>
    <x v="21"/>
    <x v="116"/>
    <n v="0.95838808585194923"/>
    <n v="1.6831718389057834E-3"/>
    <s v="Modrate Risk"/>
  </r>
  <r>
    <x v="127"/>
    <x v="126"/>
    <n v="393"/>
    <n v="57028"/>
    <n v="19637"/>
    <n v="5118446"/>
    <x v="0"/>
    <x v="0"/>
    <x v="117"/>
    <n v="0.74006592436865737"/>
    <n v="1.5054960040606075E-2"/>
    <s v="Low Risk"/>
  </r>
  <r>
    <x v="128"/>
    <x v="127"/>
    <n v="5842"/>
    <n v="241026"/>
    <n v="27421"/>
    <n v="221295851"/>
    <x v="0"/>
    <x v="21"/>
    <x v="118"/>
    <n v="0.8787300985456945"/>
    <n v="1.2394674313166406E-3"/>
    <s v="Modrate Risk"/>
  </r>
  <r>
    <x v="129"/>
    <x v="128"/>
    <n v="1322"/>
    <n v="35086"/>
    <n v="25034"/>
    <n v="5112340"/>
    <x v="0"/>
    <x v="1"/>
    <x v="119"/>
    <n v="0.57104260929006212"/>
    <n v="1.2018371235089998E-2"/>
    <s v="Modrate Risk"/>
  </r>
  <r>
    <x v="130"/>
    <x v="129"/>
    <n v="0"/>
    <n v="11"/>
    <n v="51"/>
    <n v="8963009"/>
    <x v="5"/>
    <x v="23"/>
    <x v="19"/>
    <n v="0.17741935483870969"/>
    <n v="6.9173198420307291E-6"/>
    <s v="Low Risk"/>
  </r>
  <r>
    <x v="131"/>
    <x v="130"/>
    <n v="43"/>
    <n v="2905"/>
    <n v="1600"/>
    <n v="7141091"/>
    <x v="4"/>
    <x v="47"/>
    <x v="120"/>
    <n v="0.63874230430958667"/>
    <n v="6.368774743243014E-4"/>
    <s v="Low Risk"/>
  </r>
  <r>
    <x v="132"/>
    <x v="131"/>
    <n v="18418"/>
    <n v="272547"/>
    <n v="98752"/>
    <n v="33016319"/>
    <x v="4"/>
    <x v="17"/>
    <x v="121"/>
    <n v="0.69934593564047753"/>
    <n v="1.180376891803111E-2"/>
    <s v="Modrate Risk"/>
  </r>
  <r>
    <x v="133"/>
    <x v="132"/>
    <n v="1945"/>
    <n v="26446"/>
    <n v="53649"/>
    <n v="109722719"/>
    <x v="0"/>
    <x v="39"/>
    <x v="122"/>
    <n v="0.32235494880546073"/>
    <n v="7.4770294381786148E-4"/>
    <s v="Modrate Risk"/>
  </r>
  <r>
    <x v="134"/>
    <x v="133"/>
    <n v="1676"/>
    <n v="32856"/>
    <n v="8870"/>
    <n v="37842302"/>
    <x v="1"/>
    <x v="38"/>
    <x v="123"/>
    <n v="0.75701580572323857"/>
    <n v="1.1469175421727779E-3"/>
    <s v="Modrate Risk"/>
  </r>
  <r>
    <x v="135"/>
    <x v="134"/>
    <n v="1719"/>
    <n v="35375"/>
    <n v="13205"/>
    <n v="10193593"/>
    <x v="1"/>
    <x v="3"/>
    <x v="124"/>
    <n v="0.70329430008548877"/>
    <n v="4.9343739739265632E-3"/>
    <s v="Modrate Risk"/>
  </r>
  <r>
    <x v="136"/>
    <x v="135"/>
    <n v="165"/>
    <n v="106328"/>
    <n v="3104"/>
    <n v="2807805"/>
    <x v="0"/>
    <x v="30"/>
    <x v="125"/>
    <n v="0.97017254121919394"/>
    <n v="3.9032981278970584E-2"/>
    <s v="Low Risk"/>
  </r>
  <r>
    <x v="137"/>
    <x v="136"/>
    <n v="2206"/>
    <n v="25794"/>
    <n v="17902"/>
    <n v="19224023"/>
    <x v="1"/>
    <x v="21"/>
    <x v="126"/>
    <n v="0.56193629907193587"/>
    <n v="2.3877416293145303E-3"/>
    <s v="Modrate Risk"/>
  </r>
  <r>
    <x v="138"/>
    <x v="137"/>
    <n v="13334"/>
    <n v="602249"/>
    <n v="201097"/>
    <n v="145940924"/>
    <x v="1"/>
    <x v="42"/>
    <x v="127"/>
    <n v="0.73743571533525987"/>
    <n v="5.5959629253820543E-3"/>
    <s v="Low Risk"/>
  </r>
  <r>
    <x v="139"/>
    <x v="138"/>
    <n v="5"/>
    <n v="975"/>
    <n v="899"/>
    <n v="12981546"/>
    <x v="2"/>
    <x v="25"/>
    <x v="128"/>
    <n v="0.51889302820649286"/>
    <n v="1.4474393111575461E-4"/>
    <s v="Low Risk"/>
  </r>
  <r>
    <x v="140"/>
    <x v="139"/>
    <n v="0"/>
    <n v="15"/>
    <n v="2"/>
    <n v="53237"/>
    <x v="3"/>
    <x v="44"/>
    <x v="19"/>
    <n v="0.88235294117647056"/>
    <n v="3.1932678400360654E-4"/>
    <s v="Low Risk"/>
  </r>
  <r>
    <x v="141"/>
    <x v="140"/>
    <n v="0"/>
    <n v="22"/>
    <n v="2"/>
    <n v="183712"/>
    <x v="3"/>
    <x v="5"/>
    <x v="19"/>
    <n v="0.91666666666666663"/>
    <n v="1.306392614527086E-4"/>
    <s v="Low Risk"/>
  </r>
  <r>
    <x v="142"/>
    <x v="141"/>
    <n v="0"/>
    <n v="39"/>
    <n v="13"/>
    <n v="104000"/>
    <x v="3"/>
    <x v="29"/>
    <x v="19"/>
    <n v="0.75"/>
    <n v="5.0000000000000001E-4"/>
    <s v="Low Risk"/>
  </r>
  <r>
    <x v="143"/>
    <x v="142"/>
    <n v="42"/>
    <n v="657"/>
    <n v="0"/>
    <n v="33938"/>
    <x v="1"/>
    <x v="30"/>
    <x v="129"/>
    <n v="0.93991416309012876"/>
    <n v="2.0596381637102954E-2"/>
    <s v="High Risk"/>
  </r>
  <r>
    <x v="144"/>
    <x v="143"/>
    <n v="14"/>
    <n v="734"/>
    <n v="117"/>
    <n v="219544"/>
    <x v="2"/>
    <x v="49"/>
    <x v="130"/>
    <n v="0.84855491329479771"/>
    <n v="3.9399846955507781E-3"/>
    <s v="Low Risk"/>
  </r>
  <r>
    <x v="145"/>
    <x v="144"/>
    <n v="2760"/>
    <n v="222936"/>
    <n v="43238"/>
    <n v="34865919"/>
    <x v="0"/>
    <x v="3"/>
    <x v="131"/>
    <n v="0.8289617526976879"/>
    <n v="7.7133776396371484E-3"/>
    <s v="Low Risk"/>
  </r>
  <r>
    <x v="146"/>
    <x v="145"/>
    <n v="194"/>
    <n v="6477"/>
    <n v="3093"/>
    <n v="16783877"/>
    <x v="2"/>
    <x v="3"/>
    <x v="132"/>
    <n v="0.66335518230233514"/>
    <n v="5.8174878188156404E-4"/>
    <s v="Low Risk"/>
  </r>
  <r>
    <x v="147"/>
    <x v="146"/>
    <n v="543"/>
    <n v="0"/>
    <n v="23598"/>
    <n v="8733665"/>
    <x v="1"/>
    <x v="17"/>
    <x v="133"/>
    <n v="0"/>
    <n v="2.7641316675187334E-3"/>
    <s v="Modrate Risk"/>
  </r>
  <r>
    <x v="148"/>
    <x v="147"/>
    <n v="0"/>
    <n v="39"/>
    <n v="75"/>
    <n v="98408"/>
    <x v="2"/>
    <x v="25"/>
    <x v="19"/>
    <n v="0.34210526315789475"/>
    <n v="1.158442403056662E-3"/>
    <s v="Low Risk"/>
  </r>
  <r>
    <x v="149"/>
    <x v="148"/>
    <n v="66"/>
    <n v="1317"/>
    <n v="400"/>
    <n v="7992169"/>
    <x v="2"/>
    <x v="22"/>
    <x v="134"/>
    <n v="0.73864273696017946"/>
    <n v="2.230933805328691E-4"/>
    <s v="Modrate Risk"/>
  </r>
  <r>
    <x v="150"/>
    <x v="149"/>
    <n v="27"/>
    <n v="45692"/>
    <n v="5119"/>
    <n v="5854932"/>
    <x v="0"/>
    <x v="50"/>
    <x v="135"/>
    <n v="0.89877650576340529"/>
    <n v="8.6829360272672688E-3"/>
    <s v="Low Risk"/>
  </r>
  <r>
    <x v="151"/>
    <x v="150"/>
    <n v="28"/>
    <n v="1616"/>
    <n v="537"/>
    <n v="5459915"/>
    <x v="1"/>
    <x v="17"/>
    <x v="136"/>
    <n v="0.74094452086198992"/>
    <n v="3.994567680998697E-4"/>
    <s v="Low Risk"/>
  </r>
  <r>
    <x v="152"/>
    <x v="151"/>
    <n v="116"/>
    <n v="1733"/>
    <n v="238"/>
    <n v="2078968"/>
    <x v="1"/>
    <x v="38"/>
    <x v="137"/>
    <n v="0.83037853378054627"/>
    <n v="1.0038634553297598E-3"/>
    <s v="High Risk"/>
  </r>
  <r>
    <x v="153"/>
    <x v="152"/>
    <n v="93"/>
    <n v="1543"/>
    <n v="1560"/>
    <n v="15933012"/>
    <x v="2"/>
    <x v="16"/>
    <x v="138"/>
    <n v="0.48279098873591991"/>
    <n v="2.0058981942648382E-4"/>
    <s v="Modrate Risk"/>
  </r>
  <r>
    <x v="154"/>
    <x v="153"/>
    <n v="7067"/>
    <n v="274925"/>
    <n v="170537"/>
    <n v="59381566"/>
    <x v="2"/>
    <x v="19"/>
    <x v="139"/>
    <n v="0.60753012514115112"/>
    <n v="7.6206983157028904E-3"/>
    <s v="Low Risk"/>
  </r>
  <r>
    <x v="155"/>
    <x v="154"/>
    <n v="300"/>
    <n v="13007"/>
    <n v="896"/>
    <n v="51273732"/>
    <x v="0"/>
    <x v="51"/>
    <x v="140"/>
    <n v="0.91579243821727807"/>
    <n v="2.7700343715959667E-4"/>
    <s v="Modrate Risk"/>
  </r>
  <r>
    <x v="156"/>
    <x v="155"/>
    <n v="46"/>
    <n v="1175"/>
    <n v="1084"/>
    <n v="11206572"/>
    <x v="2"/>
    <x v="52"/>
    <x v="141"/>
    <n v="0.50976138828633411"/>
    <n v="2.0568287965311784E-4"/>
    <s v="Low Risk"/>
  </r>
  <r>
    <x v="157"/>
    <x v="156"/>
    <n v="28432"/>
    <n v="150376"/>
    <n v="93613"/>
    <n v="46756648"/>
    <x v="1"/>
    <x v="42"/>
    <x v="142"/>
    <n v="0.55199856105072664"/>
    <n v="5.8263586388827534E-3"/>
    <s v="High Risk"/>
  </r>
  <r>
    <x v="158"/>
    <x v="157"/>
    <n v="11"/>
    <n v="2121"/>
    <n v="673"/>
    <n v="21422362"/>
    <x v="0"/>
    <x v="24"/>
    <x v="143"/>
    <n v="0.75614973262032081"/>
    <n v="1.3093794232400704E-4"/>
    <s v="Low Risk"/>
  </r>
  <r>
    <x v="159"/>
    <x v="158"/>
    <n v="720"/>
    <n v="5939"/>
    <n v="4765"/>
    <n v="43943536"/>
    <x v="2"/>
    <x v="5"/>
    <x v="144"/>
    <n v="0.51987044817927175"/>
    <n v="2.5996997601649536E-4"/>
    <s v="High Risk"/>
  </r>
  <r>
    <x v="160"/>
    <x v="159"/>
    <n v="24"/>
    <n v="925"/>
    <n v="534"/>
    <n v="587154"/>
    <x v="4"/>
    <x v="5"/>
    <x v="145"/>
    <n v="0.62373567093728932"/>
    <n v="2.5257428204525558E-3"/>
    <s v="Low Risk"/>
  </r>
  <r>
    <x v="161"/>
    <x v="160"/>
    <n v="5700"/>
    <n v="0"/>
    <n v="73695"/>
    <n v="10105596"/>
    <x v="1"/>
    <x v="42"/>
    <x v="146"/>
    <n v="0"/>
    <n v="7.8565381002763217E-3"/>
    <s v="High Risk"/>
  </r>
  <r>
    <x v="162"/>
    <x v="161"/>
    <n v="1978"/>
    <n v="30900"/>
    <n v="1599"/>
    <n v="8660952"/>
    <x v="1"/>
    <x v="2"/>
    <x v="147"/>
    <n v="0.89624967369550712"/>
    <n v="3.9807402234765879E-3"/>
    <s v="High Risk"/>
  </r>
  <r>
    <x v="163"/>
    <x v="162"/>
    <n v="40"/>
    <n v="0"/>
    <n v="634"/>
    <n v="17539600"/>
    <x v="0"/>
    <x v="32"/>
    <x v="148"/>
    <n v="0"/>
    <n v="3.8427330155761816E-5"/>
    <s v="High Risk"/>
  </r>
  <r>
    <x v="164"/>
    <x v="163"/>
    <n v="7"/>
    <n v="440"/>
    <n v="15"/>
    <n v="23821199"/>
    <x v="0"/>
    <x v="53"/>
    <x v="149"/>
    <n v="0.95238095238095233"/>
    <n v="1.9394489756791838E-5"/>
    <s v="Low Risk"/>
  </r>
  <r>
    <x v="165"/>
    <x v="164"/>
    <n v="60"/>
    <n v="6028"/>
    <n v="1147"/>
    <n v="9557468"/>
    <x v="0"/>
    <x v="28"/>
    <x v="150"/>
    <n v="0.83317208016586042"/>
    <n v="7.569996572313922E-4"/>
    <s v="Low Risk"/>
  </r>
  <r>
    <x v="166"/>
    <x v="165"/>
    <n v="21"/>
    <n v="183"/>
    <n v="305"/>
    <n v="59886383"/>
    <x v="2"/>
    <x v="16"/>
    <x v="151"/>
    <n v="0.35952848722986247"/>
    <n v="8.4994279918358071E-6"/>
    <s v="Modrate Risk"/>
  </r>
  <r>
    <x v="167"/>
    <x v="166"/>
    <n v="58"/>
    <n v="3111"/>
    <n v="128"/>
    <n v="69817894"/>
    <x v="0"/>
    <x v="48"/>
    <x v="152"/>
    <n v="0.94358507734303909"/>
    <n v="4.7222850921283877E-5"/>
    <s v="Low Risk"/>
  </r>
  <r>
    <x v="168"/>
    <x v="140"/>
    <n v="0"/>
    <n v="0"/>
    <n v="24"/>
    <n v="1320812"/>
    <x v="0"/>
    <x v="4"/>
    <x v="19"/>
    <n v="0"/>
    <n v="1.8170640484792688E-5"/>
    <s v="Low Risk"/>
  </r>
  <r>
    <x v="169"/>
    <x v="167"/>
    <n v="18"/>
    <n v="607"/>
    <n v="249"/>
    <n v="8296582"/>
    <x v="2"/>
    <x v="17"/>
    <x v="153"/>
    <n v="0.69450800915331812"/>
    <n v="1.0534458648151732E-4"/>
    <s v="Modrate Risk"/>
  </r>
  <r>
    <x v="170"/>
    <x v="168"/>
    <n v="8"/>
    <n v="128"/>
    <n v="12"/>
    <n v="1399950"/>
    <x v="3"/>
    <x v="36"/>
    <x v="154"/>
    <n v="0.86486486486486491"/>
    <n v="1.0571806135933426E-4"/>
    <s v="High Risk"/>
  </r>
  <r>
    <x v="171"/>
    <x v="169"/>
    <n v="50"/>
    <n v="1157"/>
    <n v="248"/>
    <n v="11830801"/>
    <x v="2"/>
    <x v="3"/>
    <x v="155"/>
    <n v="0.79518900343642607"/>
    <n v="1.2298406506879795E-4"/>
    <s v="Modrate Risk"/>
  </r>
  <r>
    <x v="172"/>
    <x v="170"/>
    <n v="5630"/>
    <n v="210469"/>
    <n v="10920"/>
    <n v="84428331"/>
    <x v="0"/>
    <x v="29"/>
    <x v="156"/>
    <n v="0.92709861289143203"/>
    <n v="2.6888959820844972E-3"/>
    <s v="Modrate Risk"/>
  </r>
  <r>
    <x v="173"/>
    <x v="171"/>
    <n v="148011"/>
    <n v="1325804"/>
    <n v="2816444"/>
    <n v="331198130"/>
    <x v="3"/>
    <x v="53"/>
    <x v="157"/>
    <n v="0.30902656459668287"/>
    <n v="1.2953753694201112E-2"/>
    <s v="Modrate Risk"/>
  </r>
  <r>
    <x v="174"/>
    <x v="172"/>
    <n v="2"/>
    <n v="986"/>
    <n v="140"/>
    <n v="45867852"/>
    <x v="2"/>
    <x v="32"/>
    <x v="158"/>
    <n v="0.87411347517730498"/>
    <n v="2.4592387714166339E-5"/>
    <s v="Low Risk"/>
  </r>
  <r>
    <x v="175"/>
    <x v="173"/>
    <n v="1636"/>
    <n v="37202"/>
    <n v="28258"/>
    <n v="43705858"/>
    <x v="1"/>
    <x v="6"/>
    <x v="159"/>
    <n v="0.55445928222248719"/>
    <n v="1.5351717840661086E-3"/>
    <s v="Modrate Risk"/>
  </r>
  <r>
    <x v="176"/>
    <x v="174"/>
    <n v="345"/>
    <n v="52510"/>
    <n v="6322"/>
    <n v="9902079"/>
    <x v="0"/>
    <x v="54"/>
    <x v="160"/>
    <n v="0.88733798604187442"/>
    <n v="5.9762197413290681E-3"/>
    <s v="Low Risk"/>
  </r>
  <r>
    <x v="177"/>
    <x v="175"/>
    <n v="45844"/>
    <n v="1437"/>
    <n v="254427"/>
    <n v="67922029"/>
    <x v="1"/>
    <x v="42"/>
    <x v="161"/>
    <n v="4.7628833176448756E-3"/>
    <n v="4.4419756659507328E-3"/>
    <s v="High Risk"/>
  </r>
  <r>
    <x v="178"/>
    <x v="176"/>
    <n v="35"/>
    <n v="951"/>
    <n v="216"/>
    <n v="3474956"/>
    <x v="4"/>
    <x v="5"/>
    <x v="162"/>
    <n v="0.79118136439267883"/>
    <n v="3.4590366036289381E-4"/>
    <s v="Modrate Risk"/>
  </r>
  <r>
    <x v="179"/>
    <x v="177"/>
    <n v="121"/>
    <n v="11674"/>
    <n v="9414"/>
    <n v="33516027"/>
    <x v="0"/>
    <x v="10"/>
    <x v="163"/>
    <n v="0.55042670564383045"/>
    <n v="6.3280173392866643E-4"/>
    <s v="Low Risk"/>
  </r>
  <r>
    <x v="180"/>
    <x v="178"/>
    <n v="146"/>
    <n v="9959"/>
    <n v="5883"/>
    <n v="28427499"/>
    <x v="4"/>
    <x v="5"/>
    <x v="164"/>
    <n v="0.62290467850888165"/>
    <n v="5.624131760588577E-4"/>
    <s v="Low Risk"/>
  </r>
  <r>
    <x v="181"/>
    <x v="179"/>
    <n v="0"/>
    <n v="365"/>
    <n v="66"/>
    <n v="97425470"/>
    <x v="0"/>
    <x v="50"/>
    <x v="19"/>
    <n v="0.84686774941995357"/>
    <n v="4.4238944908348918E-6"/>
    <s v="Low Risk"/>
  </r>
  <r>
    <x v="182"/>
    <x v="25"/>
    <n v="78"/>
    <n v="3752"/>
    <n v="6791"/>
    <n v="4800000"/>
    <x v="0"/>
    <x v="19"/>
    <x v="165"/>
    <n v="0.35326240466999342"/>
    <n v="2.2127083333333335E-3"/>
    <s v="Low Risk"/>
  </r>
  <r>
    <x v="183"/>
    <x v="180"/>
    <n v="1"/>
    <n v="8"/>
    <n v="1"/>
    <n v="598682"/>
    <x v="2"/>
    <x v="55"/>
    <x v="166"/>
    <n v="0.8"/>
    <n v="1.6703358377235327E-5"/>
    <s v="High Risk"/>
  </r>
  <r>
    <x v="184"/>
    <x v="181"/>
    <n v="483"/>
    <n v="833"/>
    <n v="375"/>
    <n v="29886897"/>
    <x v="0"/>
    <x v="56"/>
    <x v="167"/>
    <n v="0.49260792430514488"/>
    <n v="5.6579978844909859E-5"/>
    <s v="High Risk"/>
  </r>
  <r>
    <x v="185"/>
    <x v="182"/>
    <n v="140"/>
    <n v="2815"/>
    <n v="1597"/>
    <n v="18430129"/>
    <x v="2"/>
    <x v="31"/>
    <x v="168"/>
    <n v="0.61840949033391912"/>
    <n v="2.4698687676033088E-4"/>
    <s v="Modrate Risk"/>
  </r>
  <r>
    <x v="186"/>
    <x v="183"/>
    <n v="36"/>
    <n v="542"/>
    <n v="2126"/>
    <n v="14883803"/>
    <x v="2"/>
    <x v="4"/>
    <x v="169"/>
    <n v="0.20044378698224852"/>
    <n v="1.8167399823821909E-4"/>
    <s v="Low Risk"/>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796C22-0F8C-4345-A7EE-9EC36734A27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S3:U20" firstHeaderRow="1" firstDataRow="1" firstDataCol="0"/>
  <pivotFields count="15">
    <pivotField showAll="0">
      <items count="18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showAll="0"/>
    <pivotField showAll="0"/>
    <pivotField showAll="0"/>
    <pivotField showAll="0"/>
    <pivotField showAll="0"/>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65" showAll="0"/>
    <pivotField numFmtId="165" showAll="0"/>
    <pivotField numFmtId="165" showAll="0"/>
    <pivotField showAll="0"/>
    <pivotField showAll="0" defaultSubtotal="0"/>
    <pivotField showAll="0" defaultSubtotal="0"/>
    <pivotField showAll="0" defaultSubtotal="0">
      <items count="4">
        <item x="0"/>
        <item x="1"/>
        <item x="2"/>
        <item x="3"/>
      </items>
    </pivotField>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CB96112-2C9A-4A49-82BF-7E7F4D77E686}" name="PivotTable4"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N3:P14" firstHeaderRow="0" firstDataRow="1" firstDataCol="1"/>
  <pivotFields count="12">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showAll="0"/>
    <pivotField showAll="0"/>
    <pivotField dataField="1" showAll="0"/>
    <pivotField showAll="0"/>
    <pivotField showAll="0"/>
    <pivotField showAll="0"/>
    <pivotField numFmtId="164" showAll="0"/>
    <pivotField numFmtId="165" showAll="0"/>
    <pivotField numFmtId="165" showAll="0"/>
    <pivotField numFmtId="165" showAll="0"/>
    <pivotField showAll="0"/>
  </pivotFields>
  <rowFields count="1">
    <field x="0"/>
  </rowFields>
  <rowItems count="11">
    <i>
      <x v="23"/>
    </i>
    <i>
      <x v="34"/>
    </i>
    <i>
      <x v="78"/>
    </i>
    <i>
      <x v="80"/>
    </i>
    <i>
      <x v="110"/>
    </i>
    <i>
      <x v="132"/>
    </i>
    <i>
      <x v="138"/>
    </i>
    <i>
      <x v="154"/>
    </i>
    <i>
      <x v="176"/>
    </i>
    <i>
      <x v="178"/>
    </i>
    <i t="grand">
      <x/>
    </i>
  </rowItems>
  <colFields count="1">
    <field x="-2"/>
  </colFields>
  <colItems count="2">
    <i>
      <x/>
    </i>
    <i i="1">
      <x v="1"/>
    </i>
  </colItems>
  <dataFields count="2">
    <dataField name="Sum of Confirmed" fld="1" baseField="0" baseItem="0"/>
    <dataField name="Sum of Recovered" fld="3" baseField="0" baseItem="0"/>
  </dataFields>
  <chartFormats count="2">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56F8778-E0BF-439D-9511-1D17DEB7EDA9}" name="PivotTable5"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N3:O16" firstHeaderRow="1" firstDataRow="1" firstDataCol="1"/>
  <pivotFields count="15">
    <pivotField showAll="0"/>
    <pivotField dataField="1" showAll="0"/>
    <pivotField showAll="0"/>
    <pivotField showAll="0"/>
    <pivotField showAll="0"/>
    <pivotField showAll="0"/>
    <pivotField showAll="0">
      <items count="7">
        <item x="2"/>
        <item x="0"/>
        <item x="5"/>
        <item x="1"/>
        <item x="3"/>
        <item x="4"/>
        <item t="default"/>
      </items>
    </pivotField>
    <pivotField axis="axisRow"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65" showAll="0"/>
    <pivotField numFmtId="165"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sd="0" x="3"/>
        <item x="4"/>
        <item sd="0" x="5"/>
        <item t="default"/>
      </items>
    </pivotField>
    <pivotField axis="axisRow" showAll="0">
      <items count="5">
        <item sd="0" x="0"/>
        <item x="1"/>
        <item x="2"/>
        <item sd="0" x="3"/>
        <item t="default"/>
      </items>
    </pivotField>
  </pivotFields>
  <rowFields count="4">
    <field x="14"/>
    <field x="13"/>
    <field x="12"/>
    <field x="7"/>
  </rowFields>
  <rowItems count="13">
    <i>
      <x v="1"/>
    </i>
    <i r="1">
      <x v="4"/>
    </i>
    <i r="2">
      <x v="11"/>
    </i>
    <i r="2">
      <x v="12"/>
    </i>
    <i>
      <x v="2"/>
    </i>
    <i r="1">
      <x v="1"/>
    </i>
    <i r="2">
      <x v="1"/>
    </i>
    <i r="2">
      <x v="2"/>
    </i>
    <i r="2">
      <x v="3"/>
    </i>
    <i r="1">
      <x v="2"/>
    </i>
    <i r="2">
      <x v="4"/>
    </i>
    <i r="2">
      <x v="5"/>
    </i>
    <i t="grand">
      <x/>
    </i>
  </rowItems>
  <colItems count="1">
    <i/>
  </colItems>
  <dataFields count="1">
    <dataField name="Sum of Confirmed" fld="1" baseField="0" baseItem="0"/>
  </dataFields>
  <chartFormats count="1">
    <chartFormat chart="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115C8D2-AD24-492C-8D33-4181B3070BEF}" name="PivotTable8"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S17:U30" firstHeaderRow="0" firstDataRow="1" firstDataCol="1"/>
  <pivotFields count="15">
    <pivotField showAll="0"/>
    <pivotField dataFiel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showAll="0"/>
    <pivotField showAll="0"/>
    <pivotField showAll="0"/>
    <pivotField showAll="0"/>
    <pivotField showAll="0">
      <items count="7">
        <item x="2"/>
        <item x="0"/>
        <item x="5"/>
        <item x="1"/>
        <item x="3"/>
        <item x="4"/>
        <item t="default"/>
      </items>
    </pivotField>
    <pivotField axis="axisRow"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dataField="1" numFmtId="165" showAll="0"/>
    <pivotField numFmtId="165"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sd="0" x="3"/>
        <item x="4"/>
        <item sd="0" x="5"/>
      </items>
    </pivotField>
    <pivotField axis="axisRow" showAll="0" defaultSubtotal="0">
      <items count="4">
        <item sd="0" x="0"/>
        <item x="1"/>
        <item x="2"/>
        <item sd="0" x="3"/>
      </items>
    </pivotField>
  </pivotFields>
  <rowFields count="4">
    <field x="14"/>
    <field x="13"/>
    <field x="12"/>
    <field x="7"/>
  </rowFields>
  <rowItems count="13">
    <i>
      <x v="1"/>
    </i>
    <i r="1">
      <x v="4"/>
    </i>
    <i r="2">
      <x v="11"/>
    </i>
    <i r="2">
      <x v="12"/>
    </i>
    <i>
      <x v="2"/>
    </i>
    <i r="1">
      <x v="1"/>
    </i>
    <i r="2">
      <x v="1"/>
    </i>
    <i r="2">
      <x v="2"/>
    </i>
    <i r="2">
      <x v="3"/>
    </i>
    <i r="1">
      <x v="2"/>
    </i>
    <i r="2">
      <x v="4"/>
    </i>
    <i r="2">
      <x v="5"/>
    </i>
    <i t="grand">
      <x/>
    </i>
  </rowItems>
  <colFields count="1">
    <field x="-2"/>
  </colFields>
  <colItems count="2">
    <i>
      <x/>
    </i>
    <i i="1">
      <x v="1"/>
    </i>
  </colItems>
  <dataFields count="2">
    <dataField name="Sum of Confirmed" fld="1" baseField="0" baseItem="0"/>
    <dataField name="Sum of Death Rate (%)" fld="8" baseField="0" baseItem="0" numFmtId="165"/>
  </dataFields>
  <chartFormats count="2">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5382FD4-3221-47E7-8492-A6409D7FDB3F}" name="PivotTable7"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N18:P29" firstHeaderRow="0" firstDataRow="1" firstDataCol="1"/>
  <pivotFields count="12">
    <pivotField axis="axisRow" showAll="0" measureFilter="1">
      <items count="188">
        <item x="0"/>
        <item x="1"/>
        <item x="2"/>
        <item x="3"/>
        <item x="4"/>
        <item x="5"/>
        <item x="6"/>
        <item x="7"/>
        <item x="8"/>
        <item x="9"/>
        <item x="10"/>
        <item x="11"/>
        <item x="12"/>
        <item x="13"/>
        <item x="14"/>
        <item x="15"/>
        <item x="16"/>
        <item x="17"/>
        <item x="18"/>
        <item x="19"/>
        <item x="20"/>
        <item x="21"/>
        <item x="22"/>
        <item x="23"/>
        <item x="24"/>
        <item x="25"/>
        <item x="26"/>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2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4"/>
        <item x="175"/>
        <item x="176"/>
        <item x="177"/>
        <item x="178"/>
        <item x="173"/>
        <item x="179"/>
        <item x="180"/>
        <item x="181"/>
        <item x="182"/>
        <item x="183"/>
        <item x="184"/>
        <item x="185"/>
        <item x="186"/>
        <item t="default"/>
      </items>
    </pivotField>
    <pivotField dataField="1" showAll="0"/>
    <pivotField showAll="0"/>
    <pivotField dataField="1" showAll="0"/>
    <pivotField showAll="0"/>
    <pivotField showAll="0"/>
    <pivotField showAll="0"/>
    <pivotField numFmtId="164" showAll="0"/>
    <pivotField numFmtId="165" showAll="0"/>
    <pivotField numFmtId="165" showAll="0"/>
    <pivotField numFmtId="165" showAll="0"/>
    <pivotField showAll="0"/>
  </pivotFields>
  <rowFields count="1">
    <field x="0"/>
  </rowFields>
  <rowItems count="11">
    <i>
      <x v="23"/>
    </i>
    <i>
      <x v="34"/>
    </i>
    <i>
      <x v="78"/>
    </i>
    <i>
      <x v="80"/>
    </i>
    <i>
      <x v="110"/>
    </i>
    <i>
      <x v="132"/>
    </i>
    <i>
      <x v="138"/>
    </i>
    <i>
      <x v="154"/>
    </i>
    <i>
      <x v="176"/>
    </i>
    <i>
      <x v="178"/>
    </i>
    <i t="grand">
      <x/>
    </i>
  </rowItems>
  <colFields count="1">
    <field x="-2"/>
  </colFields>
  <colItems count="2">
    <i>
      <x/>
    </i>
    <i i="1">
      <x v="1"/>
    </i>
  </colItems>
  <dataFields count="2">
    <dataField name="Sum of Confirmed" fld="1" baseField="0" baseItem="0"/>
    <dataField name="Sum of Recovered" fld="3" baseField="0" baseItem="0"/>
  </dataFields>
  <chartFormats count="5">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6" format="0" series="1">
      <pivotArea type="data" outline="0" fieldPosition="0">
        <references count="1">
          <reference field="4294967294" count="1" selected="0">
            <x v="0"/>
          </reference>
        </references>
      </pivotArea>
    </chartFormat>
    <chartFormat chart="6" format="1" series="1">
      <pivotArea type="data" outline="0" fieldPosition="0">
        <references count="1">
          <reference field="4294967294" count="1" selected="0">
            <x v="1"/>
          </reference>
        </references>
      </pivotArea>
    </chartFormat>
    <chartFormat chart="6" format="2">
      <pivotArea type="data" outline="0" fieldPosition="0">
        <references count="2">
          <reference field="4294967294" count="1" selected="0">
            <x v="0"/>
          </reference>
          <reference field="0" count="1" selected="0">
            <x v="138"/>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F9BE81F-1197-4F86-A61B-8C6BD7D3BAA6}" name="PivotTable6"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T2:U9" firstHeaderRow="1" firstDataRow="1" firstDataCol="1"/>
  <pivotFields count="15">
    <pivotField showAll="0"/>
    <pivotField dataField="1" showAll="0"/>
    <pivotField showAll="0"/>
    <pivotField showAll="0"/>
    <pivotField showAll="0"/>
    <pivotField showAll="0"/>
    <pivotField axis="axisRow" showAll="0">
      <items count="7">
        <item x="2"/>
        <item x="0"/>
        <item x="5"/>
        <item x="1"/>
        <item x="3"/>
        <item x="4"/>
        <item t="default"/>
      </items>
    </pivotField>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65" showAll="0"/>
    <pivotField numFmtId="165" showAll="0"/>
    <pivotField numFmtId="165" showAll="0"/>
    <pivotField showAll="0"/>
    <pivotField showAll="0" defaultSubtotal="0"/>
    <pivotField showAll="0" defaultSubtotal="0"/>
    <pivotField showAll="0" defaultSubtotal="0">
      <items count="4">
        <item x="0"/>
        <item x="1"/>
        <item x="2"/>
        <item x="3"/>
      </items>
    </pivotField>
  </pivotFields>
  <rowFields count="1">
    <field x="6"/>
  </rowFields>
  <rowItems count="7">
    <i>
      <x/>
    </i>
    <i>
      <x v="1"/>
    </i>
    <i>
      <x v="2"/>
    </i>
    <i>
      <x v="3"/>
    </i>
    <i>
      <x v="4"/>
    </i>
    <i>
      <x v="5"/>
    </i>
    <i t="grand">
      <x/>
    </i>
  </rowItems>
  <colItems count="1">
    <i/>
  </colItems>
  <dataFields count="1">
    <dataField name="Sum of Confirmed" fld="1" baseField="0" baseItem="0"/>
  </dataFields>
  <chartFormats count="7">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6" count="1" selected="0">
            <x v="0"/>
          </reference>
        </references>
      </pivotArea>
    </chartFormat>
    <chartFormat chart="1" format="2">
      <pivotArea type="data" outline="0" fieldPosition="0">
        <references count="2">
          <reference field="4294967294" count="1" selected="0">
            <x v="0"/>
          </reference>
          <reference field="6" count="1" selected="0">
            <x v="1"/>
          </reference>
        </references>
      </pivotArea>
    </chartFormat>
    <chartFormat chart="1" format="3">
      <pivotArea type="data" outline="0" fieldPosition="0">
        <references count="2">
          <reference field="4294967294" count="1" selected="0">
            <x v="0"/>
          </reference>
          <reference field="6" count="1" selected="0">
            <x v="2"/>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 chart="1"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FB3688F-A643-4CA2-84D1-FF03F276FA99}"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N1:P18" firstHeaderRow="1" firstDataRow="1" firstDataCol="0"/>
  <pivotFields count="12">
    <pivotField showAll="0"/>
    <pivotField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showAll="0"/>
    <pivotField showAll="0">
      <items count="179">
        <item x="32"/>
        <item x="174"/>
        <item x="127"/>
        <item x="73"/>
        <item x="67"/>
        <item x="137"/>
        <item x="49"/>
        <item x="92"/>
        <item x="138"/>
        <item x="68"/>
        <item x="17"/>
        <item x="139"/>
        <item x="22"/>
        <item x="5"/>
        <item x="62"/>
        <item x="98"/>
        <item x="19"/>
        <item x="11"/>
        <item x="14"/>
        <item x="115"/>
        <item x="111"/>
        <item x="95"/>
        <item x="24"/>
        <item x="30"/>
        <item x="71"/>
        <item x="159"/>
        <item x="117"/>
        <item x="55"/>
        <item x="112"/>
        <item x="4"/>
        <item x="27"/>
        <item x="28"/>
        <item x="38"/>
        <item x="108"/>
        <item x="172"/>
        <item x="157"/>
        <item x="177"/>
        <item x="97"/>
        <item x="161"/>
        <item x="96"/>
        <item x="140"/>
        <item x="106"/>
        <item x="84"/>
        <item x="141"/>
        <item x="3"/>
        <item x="113"/>
        <item x="34"/>
        <item x="39"/>
        <item x="175"/>
        <item x="54"/>
        <item x="45"/>
        <item x="63"/>
        <item x="155"/>
        <item x="26"/>
        <item x="169"/>
        <item x="136"/>
        <item x="165"/>
        <item x="57"/>
        <item x="120"/>
        <item x="18"/>
        <item x="86"/>
        <item x="93"/>
        <item x="162"/>
        <item x="151"/>
        <item x="144"/>
        <item x="66"/>
        <item x="168"/>
        <item x="118"/>
        <item x="148"/>
        <item x="33"/>
        <item x="29"/>
        <item x="146"/>
        <item x="99"/>
        <item x="102"/>
        <item x="94"/>
        <item x="147"/>
        <item x="76"/>
        <item x="105"/>
        <item x="56"/>
        <item x="153"/>
        <item x="44"/>
        <item x="119"/>
        <item x="104"/>
        <item x="1"/>
        <item x="176"/>
        <item x="128"/>
        <item x="160"/>
        <item x="75"/>
        <item x="173"/>
        <item x="41"/>
        <item x="43"/>
        <item x="89"/>
        <item x="72"/>
        <item x="107"/>
        <item x="61"/>
        <item x="100"/>
        <item x="21"/>
        <item x="48"/>
        <item x="74"/>
        <item x="122"/>
        <item x="25"/>
        <item x="40"/>
        <item x="154"/>
        <item x="158"/>
        <item x="70"/>
        <item x="101"/>
        <item x="58"/>
        <item x="143"/>
        <item x="59"/>
        <item x="53"/>
        <item x="88"/>
        <item x="103"/>
        <item x="123"/>
        <item x="8"/>
        <item x="171"/>
        <item x="42"/>
        <item x="46"/>
        <item x="170"/>
        <item x="47"/>
        <item x="150"/>
        <item x="116"/>
        <item x="31"/>
        <item x="110"/>
        <item x="114"/>
        <item x="16"/>
        <item x="121"/>
        <item x="9"/>
        <item x="2"/>
        <item x="91"/>
        <item x="20"/>
        <item x="85"/>
        <item x="10"/>
        <item x="81"/>
        <item x="0"/>
        <item x="134"/>
        <item x="130"/>
        <item x="7"/>
        <item x="82"/>
        <item x="65"/>
        <item x="50"/>
        <item x="156"/>
        <item x="69"/>
        <item x="131"/>
        <item x="52"/>
        <item x="51"/>
        <item x="126"/>
        <item x="132"/>
        <item x="12"/>
        <item x="166"/>
        <item x="145"/>
        <item x="167"/>
        <item x="87"/>
        <item x="90"/>
        <item x="124"/>
        <item x="78"/>
        <item x="15"/>
        <item x="6"/>
        <item x="80"/>
        <item x="36"/>
        <item x="60"/>
        <item x="133"/>
        <item x="13"/>
        <item x="37"/>
        <item x="152"/>
        <item x="64"/>
        <item x="83"/>
        <item x="163"/>
        <item x="142"/>
        <item x="125"/>
        <item x="79"/>
        <item x="129"/>
        <item x="149"/>
        <item x="109"/>
        <item x="35"/>
        <item x="135"/>
        <item x="77"/>
        <item x="164"/>
        <item x="23"/>
        <item t="default"/>
      </items>
    </pivotField>
    <pivotField showAll="0"/>
    <pivotField showAll="0"/>
    <pivotField showAll="0"/>
    <pivotField numFmtId="164" showAll="0"/>
    <pivotField numFmtId="165" showAll="0"/>
    <pivotField numFmtId="165" showAll="0"/>
    <pivotField numFmtId="165" showAll="0"/>
    <pivotField showAll="0"/>
  </pivot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EECBCCBF-6678-4273-A527-EBC09B8A4F93}"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16" firstHeaderRow="1" firstDataRow="1" firstDataCol="1"/>
  <pivotFields count="15">
    <pivotField showAll="0"/>
    <pivotField dataField="1" showAll="0"/>
    <pivotField showAll="0"/>
    <pivotField showAll="0"/>
    <pivotField showAll="0"/>
    <pivotField showAll="0"/>
    <pivotField showAll="0"/>
    <pivotField axis="axisRow"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65" showAll="0"/>
    <pivotField numFmtId="165" showAll="0"/>
    <pivotField numFmtId="165"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axis="axisRow" showAll="0">
      <items count="7">
        <item sd="0" x="0"/>
        <item x="1"/>
        <item x="2"/>
        <item sd="0" x="3"/>
        <item x="4"/>
        <item sd="0" x="5"/>
        <item t="default"/>
      </items>
    </pivotField>
    <pivotField axis="axisRow" showAll="0">
      <items count="5">
        <item sd="0" x="0"/>
        <item x="1"/>
        <item x="2"/>
        <item sd="0" x="3"/>
        <item t="default"/>
      </items>
    </pivotField>
  </pivotFields>
  <rowFields count="4">
    <field x="14"/>
    <field x="13"/>
    <field x="12"/>
    <field x="7"/>
  </rowFields>
  <rowItems count="13">
    <i>
      <x v="1"/>
    </i>
    <i r="1">
      <x v="4"/>
    </i>
    <i r="2">
      <x v="11"/>
    </i>
    <i r="2">
      <x v="12"/>
    </i>
    <i>
      <x v="2"/>
    </i>
    <i r="1">
      <x v="1"/>
    </i>
    <i r="2">
      <x v="1"/>
    </i>
    <i r="2">
      <x v="2"/>
    </i>
    <i r="2">
      <x v="3"/>
    </i>
    <i r="1">
      <x v="2"/>
    </i>
    <i r="2">
      <x v="4"/>
    </i>
    <i r="2">
      <x v="5"/>
    </i>
    <i t="grand">
      <x/>
    </i>
  </rowItems>
  <colItems count="1">
    <i/>
  </colItems>
  <dataFields count="1">
    <dataField name="Sum of Confirmed" fld="1" baseField="0" baseItem="0"/>
  </dataFields>
  <chartFormats count="1">
    <chartFormat chart="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5E0E8150-AA0D-495E-A9B5-904D062B6EF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10" firstHeaderRow="1" firstDataRow="1" firstDataCol="1"/>
  <pivotFields count="15">
    <pivotField showAll="0"/>
    <pivotField dataField="1" showAll="0">
      <items count="185">
        <item x="180"/>
        <item x="75"/>
        <item x="68"/>
        <item x="139"/>
        <item x="49"/>
        <item x="94"/>
        <item x="69"/>
        <item x="140"/>
        <item x="59"/>
        <item x="17"/>
        <item x="141"/>
        <item x="129"/>
        <item x="5"/>
        <item x="19"/>
        <item x="14"/>
        <item x="147"/>
        <item x="112"/>
        <item x="24"/>
        <item x="168"/>
        <item x="30"/>
        <item x="55"/>
        <item x="113"/>
        <item x="63"/>
        <item x="109"/>
        <item x="27"/>
        <item x="38"/>
        <item x="28"/>
        <item x="11"/>
        <item x="73"/>
        <item x="179"/>
        <item x="163"/>
        <item x="97"/>
        <item x="165"/>
        <item x="162"/>
        <item x="142"/>
        <item x="107"/>
        <item x="22"/>
        <item x="86"/>
        <item x="143"/>
        <item x="167"/>
        <item x="3"/>
        <item x="34"/>
        <item x="4"/>
        <item x="45"/>
        <item x="26"/>
        <item x="172"/>
        <item x="122"/>
        <item x="64"/>
        <item x="98"/>
        <item x="88"/>
        <item x="176"/>
        <item x="95"/>
        <item x="169"/>
        <item x="159"/>
        <item x="120"/>
        <item x="181"/>
        <item x="116"/>
        <item x="18"/>
        <item x="148"/>
        <item x="117"/>
        <item x="78"/>
        <item x="138"/>
        <item x="72"/>
        <item x="100"/>
        <item x="56"/>
        <item x="151"/>
        <item x="150"/>
        <item x="155"/>
        <item x="57"/>
        <item x="29"/>
        <item x="106"/>
        <item x="44"/>
        <item x="183"/>
        <item x="157"/>
        <item x="99"/>
        <item x="114"/>
        <item x="54"/>
        <item x="152"/>
        <item x="39"/>
        <item x="166"/>
        <item x="105"/>
        <item x="121"/>
        <item x="103"/>
        <item x="96"/>
        <item x="67"/>
        <item x="77"/>
        <item x="130"/>
        <item x="182"/>
        <item x="33"/>
        <item x="1"/>
        <item x="43"/>
        <item x="48"/>
        <item x="108"/>
        <item x="101"/>
        <item x="71"/>
        <item x="62"/>
        <item x="164"/>
        <item x="74"/>
        <item x="60"/>
        <item x="91"/>
        <item x="40"/>
        <item x="104"/>
        <item x="125"/>
        <item x="102"/>
        <item x="145"/>
        <item x="124"/>
        <item x="21"/>
        <item x="25"/>
        <item x="158"/>
        <item x="47"/>
        <item x="154"/>
        <item x="58"/>
        <item x="53"/>
        <item x="8"/>
        <item x="46"/>
        <item x="42"/>
        <item x="41"/>
        <item x="178"/>
        <item x="31"/>
        <item x="90"/>
        <item x="118"/>
        <item x="9"/>
        <item x="115"/>
        <item x="177"/>
        <item x="111"/>
        <item x="146"/>
        <item x="83"/>
        <item x="2"/>
        <item x="10"/>
        <item x="87"/>
        <item x="93"/>
        <item x="66"/>
        <item x="161"/>
        <item x="0"/>
        <item x="7"/>
        <item x="12"/>
        <item x="76"/>
        <item x="123"/>
        <item x="133"/>
        <item x="70"/>
        <item x="136"/>
        <item x="134"/>
        <item x="149"/>
        <item x="119"/>
        <item x="174"/>
        <item x="128"/>
        <item x="84"/>
        <item x="50"/>
        <item x="92"/>
        <item x="16"/>
        <item x="173"/>
        <item x="15"/>
        <item x="20"/>
        <item x="126"/>
        <item x="160"/>
        <item x="51"/>
        <item x="132"/>
        <item x="89"/>
        <item x="36"/>
        <item x="52"/>
        <item x="80"/>
        <item x="135"/>
        <item x="82"/>
        <item x="32"/>
        <item x="6"/>
        <item x="65"/>
        <item x="61"/>
        <item x="13"/>
        <item x="170"/>
        <item x="85"/>
        <item x="37"/>
        <item x="144"/>
        <item x="156"/>
        <item x="127"/>
        <item x="81"/>
        <item x="175"/>
        <item x="35"/>
        <item x="131"/>
        <item x="110"/>
        <item x="153"/>
        <item x="137"/>
        <item x="79"/>
        <item x="23"/>
        <item x="171"/>
        <item t="default"/>
      </items>
    </pivotField>
    <pivotField showAll="0"/>
    <pivotField showAll="0"/>
    <pivotField showAll="0"/>
    <pivotField showAll="0"/>
    <pivotField axis="axisRow" showAll="0">
      <items count="7">
        <item x="2"/>
        <item x="0"/>
        <item x="5"/>
        <item x="1"/>
        <item x="3"/>
        <item x="4"/>
        <item t="default"/>
      </items>
    </pivotField>
    <pivotField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numFmtId="165" showAll="0"/>
    <pivotField numFmtId="165" showAll="0"/>
    <pivotField numFmtId="165"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7">
    <i>
      <x/>
    </i>
    <i>
      <x v="1"/>
    </i>
    <i>
      <x v="2"/>
    </i>
    <i>
      <x v="3"/>
    </i>
    <i>
      <x v="4"/>
    </i>
    <i>
      <x v="5"/>
    </i>
    <i t="grand">
      <x/>
    </i>
  </rowItems>
  <colItems count="1">
    <i/>
  </colItems>
  <dataFields count="1">
    <dataField name="Sum of Confirmed" fld="1" baseField="0" baseItem="0"/>
  </dataFields>
  <chartFormats count="7">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6" count="1" selected="0">
            <x v="0"/>
          </reference>
        </references>
      </pivotArea>
    </chartFormat>
    <chartFormat chart="3" format="2">
      <pivotArea type="data" outline="0" fieldPosition="0">
        <references count="2">
          <reference field="4294967294" count="1" selected="0">
            <x v="0"/>
          </reference>
          <reference field="6" count="1" selected="0">
            <x v="1"/>
          </reference>
        </references>
      </pivotArea>
    </chartFormat>
    <chartFormat chart="3" format="3">
      <pivotArea type="data" outline="0" fieldPosition="0">
        <references count="2">
          <reference field="4294967294" count="1" selected="0">
            <x v="0"/>
          </reference>
          <reference field="6" count="1" selected="0">
            <x v="2"/>
          </reference>
        </references>
      </pivotArea>
    </chartFormat>
    <chartFormat chart="3" format="4">
      <pivotArea type="data" outline="0" fieldPosition="0">
        <references count="2">
          <reference field="4294967294" count="1" selected="0">
            <x v="0"/>
          </reference>
          <reference field="6" count="1" selected="0">
            <x v="3"/>
          </reference>
        </references>
      </pivotArea>
    </chartFormat>
    <chartFormat chart="3" format="5">
      <pivotArea type="data" outline="0" fieldPosition="0">
        <references count="2">
          <reference field="4294967294" count="1" selected="0">
            <x v="0"/>
          </reference>
          <reference field="6" count="1" selected="0">
            <x v="4"/>
          </reference>
        </references>
      </pivotArea>
    </chartFormat>
    <chartFormat chart="3" format="6">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B25BD822-F74B-467C-BA56-C2CDF040853F}" name="PivotTable3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C14" firstHeaderRow="0" firstDataRow="1" firstDataCol="1"/>
  <pivotFields count="15">
    <pivotField showAll="0"/>
    <pivotField dataField="1" showAll="0"/>
    <pivotField showAll="0"/>
    <pivotField showAll="0"/>
    <pivotField showAll="0"/>
    <pivotField showAll="0"/>
    <pivotField showAll="0"/>
    <pivotField axis="axisRow" numFmtId="164" showAll="0">
      <items count="58">
        <item x="27"/>
        <item x="35"/>
        <item x="48"/>
        <item x="43"/>
        <item x="51"/>
        <item x="53"/>
        <item x="50"/>
        <item x="8"/>
        <item x="24"/>
        <item x="54"/>
        <item x="39"/>
        <item x="42"/>
        <item x="14"/>
        <item x="34"/>
        <item x="40"/>
        <item x="11"/>
        <item x="41"/>
        <item x="0"/>
        <item x="2"/>
        <item x="21"/>
        <item x="30"/>
        <item x="9"/>
        <item x="33"/>
        <item x="7"/>
        <item x="3"/>
        <item x="6"/>
        <item x="38"/>
        <item x="19"/>
        <item x="17"/>
        <item x="47"/>
        <item x="12"/>
        <item x="1"/>
        <item x="18"/>
        <item x="29"/>
        <item x="36"/>
        <item x="5"/>
        <item x="25"/>
        <item x="10"/>
        <item x="16"/>
        <item x="13"/>
        <item x="31"/>
        <item x="26"/>
        <item x="23"/>
        <item x="4"/>
        <item x="32"/>
        <item x="15"/>
        <item x="44"/>
        <item x="37"/>
        <item x="20"/>
        <item x="22"/>
        <item x="46"/>
        <item x="55"/>
        <item x="52"/>
        <item x="49"/>
        <item x="56"/>
        <item x="28"/>
        <item x="45"/>
        <item t="default"/>
      </items>
    </pivotField>
    <pivotField dataField="1" numFmtId="165" showAll="0"/>
    <pivotField numFmtId="165" showAll="0"/>
    <pivotField numFmtId="165" showAll="0"/>
    <pivotField showAll="0"/>
    <pivotField axis="axisRow" showAll="0" defaultSubtotal="0">
      <items count="14">
        <item sd="0" x="0"/>
        <item sd="0" x="1"/>
        <item sd="0" x="2"/>
        <item sd="0" x="3"/>
        <item sd="0" x="4"/>
        <item sd="0" x="5"/>
        <item sd="0" x="6"/>
        <item sd="0" x="7"/>
        <item sd="0" x="8"/>
        <item sd="0" x="9"/>
        <item sd="0" x="10"/>
        <item sd="0" x="11"/>
        <item sd="0" x="12"/>
        <item sd="0" x="13"/>
      </items>
    </pivotField>
    <pivotField axis="axisRow" showAll="0" defaultSubtotal="0">
      <items count="6">
        <item sd="0" x="0"/>
        <item x="1"/>
        <item x="2"/>
        <item sd="0" x="3"/>
        <item x="4"/>
        <item sd="0" x="5"/>
      </items>
    </pivotField>
    <pivotField axis="axisRow" showAll="0" defaultSubtotal="0">
      <items count="4">
        <item sd="0" x="0"/>
        <item x="1"/>
        <item x="2"/>
        <item sd="0" x="3"/>
      </items>
    </pivotField>
  </pivotFields>
  <rowFields count="4">
    <field x="14"/>
    <field x="13"/>
    <field x="12"/>
    <field x="7"/>
  </rowFields>
  <rowItems count="13">
    <i>
      <x v="1"/>
    </i>
    <i r="1">
      <x v="4"/>
    </i>
    <i r="2">
      <x v="11"/>
    </i>
    <i r="2">
      <x v="12"/>
    </i>
    <i>
      <x v="2"/>
    </i>
    <i r="1">
      <x v="1"/>
    </i>
    <i r="2">
      <x v="1"/>
    </i>
    <i r="2">
      <x v="2"/>
    </i>
    <i r="2">
      <x v="3"/>
    </i>
    <i r="1">
      <x v="2"/>
    </i>
    <i r="2">
      <x v="4"/>
    </i>
    <i r="2">
      <x v="5"/>
    </i>
    <i t="grand">
      <x/>
    </i>
  </rowItems>
  <colFields count="1">
    <field x="-2"/>
  </colFields>
  <colItems count="2">
    <i>
      <x/>
    </i>
    <i i="1">
      <x v="1"/>
    </i>
  </colItems>
  <dataFields count="2">
    <dataField name="Sum of Confirmed" fld="1" baseField="0" baseItem="0"/>
    <dataField name="Sum of Death Rate (%)" fld="8" baseField="0" baseItem="0" numFmtId="165"/>
  </dataFields>
  <chartFormats count="2">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ntinent" xr10:uid="{E2D79403-CF3A-405F-B37F-FEBE164D8D26}" sourceName="Continent">
  <pivotTables>
    <pivotTable tabId="17" name="PivotTable6"/>
    <pivotTable tabId="17" name="PivotTable5"/>
    <pivotTable tabId="17" name="PivotTable8"/>
  </pivotTables>
  <data>
    <tabular pivotCacheId="167804368">
      <items count="6">
        <i x="2" s="1"/>
        <i x="0" s="1"/>
        <i x="5" s="1"/>
        <i x="1"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ntinent" xr10:uid="{2F7F91BC-0DF6-4FA4-AEEF-3458B0861051}" cache="Slicer_Continent" caption="Continent" rowHeight="257175"/>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5.xml"/><Relationship Id="rId2" Type="http://schemas.openxmlformats.org/officeDocument/2006/relationships/pivotTable" Target="../pivotTables/pivotTable4.xml"/><Relationship Id="rId1" Type="http://schemas.openxmlformats.org/officeDocument/2006/relationships/pivotTable" Target="../pivotTables/pivotTable3.xml"/><Relationship Id="rId6" Type="http://schemas.microsoft.com/office/2007/relationships/slicer" Target="../slicers/slicer1.xml"/><Relationship Id="rId5" Type="http://schemas.openxmlformats.org/officeDocument/2006/relationships/drawing" Target="../drawings/drawing2.xml"/><Relationship Id="rId4" Type="http://schemas.openxmlformats.org/officeDocument/2006/relationships/pivotTable" Target="../pivotTables/pivotTable6.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7.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8.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A359E6-F680-4CEA-A4DD-E5F1B22DAFFE}">
  <dimension ref="A1:U188"/>
  <sheetViews>
    <sheetView tabSelected="1" zoomScale="98" zoomScaleNormal="98" workbookViewId="0"/>
  </sheetViews>
  <sheetFormatPr defaultRowHeight="15" x14ac:dyDescent="0.25"/>
  <cols>
    <col min="1" max="1" width="30.7109375" style="2" bestFit="1" customWidth="1"/>
    <col min="2" max="2" width="10.7109375" style="2" customWidth="1"/>
    <col min="3" max="3" width="7.42578125" style="2" bestFit="1" customWidth="1"/>
    <col min="4" max="4" width="10.7109375" style="2" customWidth="1"/>
    <col min="5" max="5" width="8" style="2" bestFit="1" customWidth="1"/>
    <col min="6" max="6" width="11" style="3" bestFit="1" customWidth="1"/>
    <col min="7" max="7" width="17.42578125" style="2" bestFit="1" customWidth="1"/>
    <col min="8" max="8" width="16.42578125" style="4" bestFit="1" customWidth="1"/>
    <col min="9" max="9" width="14.5703125" style="2" bestFit="1" customWidth="1"/>
    <col min="10" max="10" width="17.7109375" style="2" bestFit="1" customWidth="1"/>
    <col min="11" max="11" width="17.42578125" style="2" bestFit="1" customWidth="1"/>
    <col min="12" max="12" width="15.85546875" style="2" customWidth="1"/>
    <col min="13" max="14" width="9.140625" style="2"/>
    <col min="15" max="15" width="15.42578125" style="2" bestFit="1" customWidth="1"/>
    <col min="16" max="16" width="23" style="2" customWidth="1"/>
    <col min="17" max="18" width="9.140625" style="2"/>
    <col min="19" max="19" width="14.5703125" style="2" bestFit="1" customWidth="1"/>
    <col min="20" max="20" width="7" style="2" bestFit="1" customWidth="1"/>
    <col min="21" max="16384" width="9.140625" style="2"/>
  </cols>
  <sheetData>
    <row r="1" spans="1:21" ht="18" customHeight="1" x14ac:dyDescent="0.25">
      <c r="A1" s="5" t="s">
        <v>0</v>
      </c>
      <c r="B1" s="5" t="s">
        <v>1</v>
      </c>
      <c r="C1" s="5" t="s">
        <v>2</v>
      </c>
      <c r="D1" s="5" t="s">
        <v>3</v>
      </c>
      <c r="E1" s="5" t="s">
        <v>4</v>
      </c>
      <c r="F1" s="6" t="s">
        <v>192</v>
      </c>
      <c r="G1" s="5" t="s">
        <v>193</v>
      </c>
      <c r="H1" s="7" t="s">
        <v>194</v>
      </c>
      <c r="I1" s="5" t="s">
        <v>201</v>
      </c>
      <c r="J1" s="5" t="s">
        <v>202</v>
      </c>
      <c r="K1" s="16" t="s">
        <v>203</v>
      </c>
      <c r="L1" s="5" t="s">
        <v>204</v>
      </c>
      <c r="S1"/>
      <c r="T1"/>
    </row>
    <row r="2" spans="1:21" ht="18" customHeight="1" x14ac:dyDescent="0.25">
      <c r="A2" s="8" t="s">
        <v>5</v>
      </c>
      <c r="B2" s="8">
        <v>36263</v>
      </c>
      <c r="C2" s="8">
        <v>1269</v>
      </c>
      <c r="D2" s="8">
        <v>25198</v>
      </c>
      <c r="E2" s="8">
        <v>9796</v>
      </c>
      <c r="F2" s="8">
        <v>39009447</v>
      </c>
      <c r="G2" s="8" t="s">
        <v>195</v>
      </c>
      <c r="H2" s="1">
        <v>43885</v>
      </c>
      <c r="I2" s="14">
        <f t="shared" ref="I2:I33" si="0">C2/B2</f>
        <v>3.4994346854920991E-2</v>
      </c>
      <c r="J2" s="14">
        <f t="shared" ref="J2:J33" si="1">D2/B2</f>
        <v>0.69486804732096075</v>
      </c>
      <c r="K2" s="17">
        <f t="shared" ref="K2:K33" si="2">B2/F2</f>
        <v>9.2959533622714516E-4</v>
      </c>
      <c r="L2" s="8" t="str" cm="1">
        <f t="array" ref="L2">_xlfn.IFS(I2&gt;5%,"High Risk",AND(I2&gt;2%,I2&lt;5%),"Modrate Risk",I2&lt;2%, "Low Risk")</f>
        <v>Modrate Risk</v>
      </c>
      <c r="O2" s="5" t="s">
        <v>0</v>
      </c>
      <c r="P2" s="6" t="s">
        <v>192</v>
      </c>
    </row>
    <row r="3" spans="1:21" ht="18" customHeight="1" x14ac:dyDescent="0.25">
      <c r="A3" s="9" t="s">
        <v>6</v>
      </c>
      <c r="B3" s="9">
        <v>4880</v>
      </c>
      <c r="C3" s="9">
        <v>144</v>
      </c>
      <c r="D3" s="9">
        <v>2745</v>
      </c>
      <c r="E3" s="9">
        <v>1991</v>
      </c>
      <c r="F3" s="9">
        <v>2877470</v>
      </c>
      <c r="G3" s="9" t="s">
        <v>196</v>
      </c>
      <c r="H3" s="10">
        <v>43899</v>
      </c>
      <c r="I3" s="15">
        <f t="shared" si="0"/>
        <v>2.9508196721311476E-2</v>
      </c>
      <c r="J3" s="15">
        <f t="shared" si="1"/>
        <v>0.5625</v>
      </c>
      <c r="K3" s="18">
        <f t="shared" si="2"/>
        <v>1.6959342755962703E-3</v>
      </c>
      <c r="L3" s="9" t="str" cm="1">
        <f t="array" ref="L3">_xlfn.IFS(I3&gt;5%,"High Risk",AND(I3&gt;2%,I3&lt;5%),"Modrate Risk",I3&lt;2%, "Low Risk")</f>
        <v>Modrate Risk</v>
      </c>
      <c r="O3" s="2" t="s">
        <v>6</v>
      </c>
      <c r="P3" s="2">
        <f>VLOOKUP(O3,A1:L188,6,0)</f>
        <v>2877470</v>
      </c>
      <c r="S3" s="28"/>
      <c r="T3" s="29"/>
      <c r="U3" s="30"/>
    </row>
    <row r="4" spans="1:21" ht="18" customHeight="1" x14ac:dyDescent="0.25">
      <c r="A4" s="8" t="s">
        <v>7</v>
      </c>
      <c r="B4" s="8">
        <v>27973</v>
      </c>
      <c r="C4" s="8">
        <v>1163</v>
      </c>
      <c r="D4" s="8">
        <v>18837</v>
      </c>
      <c r="E4" s="8">
        <v>7973</v>
      </c>
      <c r="F4" s="8">
        <v>43926079</v>
      </c>
      <c r="G4" s="8" t="s">
        <v>197</v>
      </c>
      <c r="H4" s="1">
        <v>43886</v>
      </c>
      <c r="I4" s="14">
        <f t="shared" si="0"/>
        <v>4.1575805240767885E-2</v>
      </c>
      <c r="J4" s="14">
        <f t="shared" si="1"/>
        <v>0.67339934937260926</v>
      </c>
      <c r="K4" s="17">
        <f t="shared" si="2"/>
        <v>6.3681987185790017E-4</v>
      </c>
      <c r="L4" s="8" t="str" cm="1">
        <f t="array" ref="L4">_xlfn.IFS(I4&gt;5%,"High Risk",AND(I4&gt;2%,I4&lt;5%),"Modrate Risk",I4&lt;2%, "Low Risk")</f>
        <v>Modrate Risk</v>
      </c>
      <c r="S4" s="31"/>
      <c r="T4" s="32"/>
      <c r="U4" s="33"/>
    </row>
    <row r="5" spans="1:21" ht="18" customHeight="1" x14ac:dyDescent="0.25">
      <c r="A5" s="9" t="s">
        <v>8</v>
      </c>
      <c r="B5" s="9">
        <v>907</v>
      </c>
      <c r="C5" s="9">
        <v>52</v>
      </c>
      <c r="D5" s="9">
        <v>803</v>
      </c>
      <c r="E5" s="9">
        <v>52</v>
      </c>
      <c r="F5" s="9">
        <v>77278</v>
      </c>
      <c r="G5" s="9" t="s">
        <v>196</v>
      </c>
      <c r="H5" s="10">
        <v>43892</v>
      </c>
      <c r="I5" s="15">
        <f t="shared" si="0"/>
        <v>5.7331863285556783E-2</v>
      </c>
      <c r="J5" s="15">
        <f t="shared" si="1"/>
        <v>0.88533627342888643</v>
      </c>
      <c r="K5" s="18">
        <f t="shared" si="2"/>
        <v>1.1736846191671627E-2</v>
      </c>
      <c r="L5" s="9" t="str" cm="1">
        <f t="array" ref="L5">_xlfn.IFS(I5&gt;5%,"High Risk",AND(I5&gt;2%,I5&lt;5%),"Modrate Risk",I5&lt;2%, "Low Risk")</f>
        <v>High Risk</v>
      </c>
      <c r="O5" s="5" t="s">
        <v>193</v>
      </c>
      <c r="P5" s="27" t="s">
        <v>221</v>
      </c>
      <c r="S5" s="31"/>
      <c r="T5" s="32"/>
      <c r="U5" s="33"/>
    </row>
    <row r="6" spans="1:21" ht="18" customHeight="1" x14ac:dyDescent="0.25">
      <c r="A6" s="8" t="s">
        <v>9</v>
      </c>
      <c r="B6" s="8">
        <v>950</v>
      </c>
      <c r="C6" s="8">
        <v>41</v>
      </c>
      <c r="D6" s="8">
        <v>242</v>
      </c>
      <c r="E6" s="8">
        <v>667</v>
      </c>
      <c r="F6" s="8">
        <v>32956300</v>
      </c>
      <c r="G6" s="8" t="s">
        <v>197</v>
      </c>
      <c r="H6" s="1">
        <v>43911</v>
      </c>
      <c r="I6" s="14">
        <f t="shared" si="0"/>
        <v>4.3157894736842103E-2</v>
      </c>
      <c r="J6" s="14">
        <f t="shared" si="1"/>
        <v>0.25473684210526315</v>
      </c>
      <c r="K6" s="17">
        <f t="shared" si="2"/>
        <v>2.8826051468156317E-5</v>
      </c>
      <c r="L6" s="8" t="str" cm="1">
        <f t="array" ref="L6">_xlfn.IFS(I6&gt;5%,"High Risk",AND(I6&gt;2%,I6&lt;5%),"Modrate Risk",I6&lt;2%, "Low Risk")</f>
        <v>Modrate Risk</v>
      </c>
      <c r="O6" s="2" t="str" cm="1">
        <f t="array" ref="O6:P12">_xlfn.GROUPBY(G2:G188,J2:J188,_xleta.AVERAGE)</f>
        <v>Africa</v>
      </c>
      <c r="P6" s="26">
        <v>0.57911964724294851</v>
      </c>
      <c r="S6" s="31"/>
      <c r="T6" s="32"/>
      <c r="U6" s="33"/>
    </row>
    <row r="7" spans="1:21" ht="18" customHeight="1" x14ac:dyDescent="0.25">
      <c r="A7" s="9" t="s">
        <v>10</v>
      </c>
      <c r="B7" s="9">
        <v>86</v>
      </c>
      <c r="C7" s="9">
        <v>3</v>
      </c>
      <c r="D7" s="9">
        <v>65</v>
      </c>
      <c r="E7" s="9">
        <v>18</v>
      </c>
      <c r="F7" s="9">
        <v>98010</v>
      </c>
      <c r="G7" s="9" t="s">
        <v>198</v>
      </c>
      <c r="H7" s="10">
        <v>43903</v>
      </c>
      <c r="I7" s="15">
        <f t="shared" si="0"/>
        <v>3.4883720930232558E-2</v>
      </c>
      <c r="J7" s="15">
        <f t="shared" si="1"/>
        <v>0.7558139534883721</v>
      </c>
      <c r="K7" s="18">
        <f t="shared" si="2"/>
        <v>8.7746148352208962E-4</v>
      </c>
      <c r="L7" s="9" t="str" cm="1">
        <f t="array" ref="L7">_xlfn.IFS(I7&gt;5%,"High Risk",AND(I7&gt;2%,I7&lt;5%),"Modrate Risk",I7&lt;2%, "Low Risk")</f>
        <v>Modrate Risk</v>
      </c>
      <c r="O7" s="2" t="str">
        <v>Asia</v>
      </c>
      <c r="P7" s="26">
        <v>0.71909286212483592</v>
      </c>
      <c r="S7" s="31"/>
      <c r="T7" s="32"/>
      <c r="U7" s="33"/>
    </row>
    <row r="8" spans="1:21" ht="18" customHeight="1" x14ac:dyDescent="0.25">
      <c r="A8" s="8" t="s">
        <v>11</v>
      </c>
      <c r="B8" s="8">
        <v>167416</v>
      </c>
      <c r="C8" s="8">
        <v>3059</v>
      </c>
      <c r="D8" s="8">
        <v>72575</v>
      </c>
      <c r="E8" s="8">
        <v>91782</v>
      </c>
      <c r="F8" s="8">
        <v>45236884</v>
      </c>
      <c r="G8" s="8" t="s">
        <v>199</v>
      </c>
      <c r="H8" s="1">
        <v>43893</v>
      </c>
      <c r="I8" s="14">
        <f t="shared" si="0"/>
        <v>1.8271849763463469E-2</v>
      </c>
      <c r="J8" s="14">
        <f t="shared" si="1"/>
        <v>0.43350097959573758</v>
      </c>
      <c r="K8" s="17">
        <f t="shared" si="2"/>
        <v>3.7008738267649026E-3</v>
      </c>
      <c r="L8" s="8" t="str" cm="1">
        <f t="array" ref="L8">_xlfn.IFS(I8&gt;5%,"High Risk",AND(I8&gt;2%,I8&lt;5%),"Modrate Risk",I8&lt;2%, "Low Risk")</f>
        <v>Low Risk</v>
      </c>
      <c r="O8" s="2" t="str">
        <v>Australia/Oceania</v>
      </c>
      <c r="P8" s="26">
        <v>0.60622789947817179</v>
      </c>
      <c r="S8" s="31"/>
      <c r="T8" s="32"/>
      <c r="U8" s="33"/>
    </row>
    <row r="9" spans="1:21" ht="18" customHeight="1" x14ac:dyDescent="0.25">
      <c r="A9" s="9" t="s">
        <v>12</v>
      </c>
      <c r="B9" s="9">
        <v>37390</v>
      </c>
      <c r="C9" s="9">
        <v>711</v>
      </c>
      <c r="D9" s="9">
        <v>26665</v>
      </c>
      <c r="E9" s="9">
        <v>10014</v>
      </c>
      <c r="F9" s="9">
        <v>2963811</v>
      </c>
      <c r="G9" s="9" t="s">
        <v>195</v>
      </c>
      <c r="H9" s="10">
        <v>43891</v>
      </c>
      <c r="I9" s="15">
        <f t="shared" si="0"/>
        <v>1.901577962021931E-2</v>
      </c>
      <c r="J9" s="15">
        <f t="shared" si="1"/>
        <v>0.71315859855576358</v>
      </c>
      <c r="K9" s="18">
        <f t="shared" si="2"/>
        <v>1.2615514282118529E-2</v>
      </c>
      <c r="L9" s="9" t="str" cm="1">
        <f t="array" ref="L9">_xlfn.IFS(I9&gt;5%,"High Risk",AND(I9&gt;2%,I9&lt;5%),"Modrate Risk",I9&lt;2%, "Low Risk")</f>
        <v>Low Risk</v>
      </c>
      <c r="O9" s="2" t="str">
        <v>Europe</v>
      </c>
      <c r="P9" s="26">
        <v>0.67558647969861019</v>
      </c>
      <c r="S9" s="31"/>
      <c r="T9" s="32"/>
      <c r="U9" s="33"/>
    </row>
    <row r="10" spans="1:21" ht="18" customHeight="1" x14ac:dyDescent="0.25">
      <c r="A10" s="8" t="s">
        <v>13</v>
      </c>
      <c r="B10" s="8">
        <v>15303</v>
      </c>
      <c r="C10" s="8">
        <v>167</v>
      </c>
      <c r="D10" s="8">
        <v>9311</v>
      </c>
      <c r="E10" s="8">
        <v>5825</v>
      </c>
      <c r="F10" s="8">
        <v>25528864</v>
      </c>
      <c r="G10" s="8" t="s">
        <v>200</v>
      </c>
      <c r="H10" s="1">
        <v>43855</v>
      </c>
      <c r="I10" s="14">
        <f t="shared" si="0"/>
        <v>1.0912892896817617E-2</v>
      </c>
      <c r="J10" s="14">
        <f t="shared" si="1"/>
        <v>0.60844278899562176</v>
      </c>
      <c r="K10" s="17">
        <f t="shared" si="2"/>
        <v>5.9943912897965216E-4</v>
      </c>
      <c r="L10" s="8" t="str" cm="1">
        <f t="array" ref="L10">_xlfn.IFS(I10&gt;5%,"High Risk",AND(I10&gt;2%,I10&lt;5%),"Modrate Risk",I10&lt;2%, "Low Risk")</f>
        <v>Low Risk</v>
      </c>
      <c r="O10" s="2" t="str">
        <v>North America</v>
      </c>
      <c r="P10" s="26">
        <v>0.65075686986846482</v>
      </c>
      <c r="S10" s="31"/>
      <c r="T10" s="32"/>
      <c r="U10" s="33"/>
    </row>
    <row r="11" spans="1:21" ht="18" customHeight="1" x14ac:dyDescent="0.25">
      <c r="A11" s="9" t="s">
        <v>14</v>
      </c>
      <c r="B11" s="9">
        <v>20558</v>
      </c>
      <c r="C11" s="9">
        <v>713</v>
      </c>
      <c r="D11" s="9">
        <v>18246</v>
      </c>
      <c r="E11" s="9">
        <v>1599</v>
      </c>
      <c r="F11" s="9">
        <v>9011577</v>
      </c>
      <c r="G11" s="9" t="s">
        <v>196</v>
      </c>
      <c r="H11" s="10">
        <v>43886</v>
      </c>
      <c r="I11" s="15">
        <f t="shared" si="0"/>
        <v>3.4682362097480303E-2</v>
      </c>
      <c r="J11" s="15">
        <f t="shared" si="1"/>
        <v>0.88753769821967121</v>
      </c>
      <c r="K11" s="18">
        <f t="shared" si="2"/>
        <v>2.2812877257776302E-3</v>
      </c>
      <c r="L11" s="9" t="str" cm="1">
        <f t="array" ref="L11">_xlfn.IFS(I11&gt;5%,"High Risk",AND(I11&gt;2%,I11&lt;5%),"Modrate Risk",I11&lt;2%, "Low Risk")</f>
        <v>Modrate Risk</v>
      </c>
      <c r="O11" s="2" t="str">
        <v>South America</v>
      </c>
      <c r="P11" s="26">
        <v>0.599354487411487</v>
      </c>
      <c r="S11" s="31"/>
      <c r="T11" s="32"/>
      <c r="U11" s="33"/>
    </row>
    <row r="12" spans="1:21" ht="18" customHeight="1" x14ac:dyDescent="0.25">
      <c r="A12" s="8" t="s">
        <v>15</v>
      </c>
      <c r="B12" s="8">
        <v>30446</v>
      </c>
      <c r="C12" s="8">
        <v>423</v>
      </c>
      <c r="D12" s="8">
        <v>23242</v>
      </c>
      <c r="E12" s="8">
        <v>6781</v>
      </c>
      <c r="F12" s="8">
        <v>10148243</v>
      </c>
      <c r="G12" s="8" t="s">
        <v>195</v>
      </c>
      <c r="H12" s="1">
        <v>43889</v>
      </c>
      <c r="I12" s="14">
        <f t="shared" si="0"/>
        <v>1.389345069959929E-2</v>
      </c>
      <c r="J12" s="14">
        <f t="shared" si="1"/>
        <v>0.76338435262431847</v>
      </c>
      <c r="K12" s="17">
        <f t="shared" si="2"/>
        <v>3.0001252433549336E-3</v>
      </c>
      <c r="L12" s="8" t="str" cm="1">
        <f t="array" ref="L12">_xlfn.IFS(I12&gt;5%,"High Risk",AND(I12&gt;2%,I12&lt;5%),"Modrate Risk",I12&lt;2%, "Low Risk")</f>
        <v>Low Risk</v>
      </c>
      <c r="O12" s="2" t="str">
        <v>Total</v>
      </c>
      <c r="P12" s="26">
        <v>0.64820336794510736</v>
      </c>
      <c r="S12" s="31"/>
      <c r="T12" s="32"/>
      <c r="U12" s="33"/>
    </row>
    <row r="13" spans="1:21" ht="18" customHeight="1" x14ac:dyDescent="0.25">
      <c r="A13" s="9" t="s">
        <v>16</v>
      </c>
      <c r="B13" s="9">
        <v>382</v>
      </c>
      <c r="C13" s="9">
        <v>11</v>
      </c>
      <c r="D13" s="9">
        <v>91</v>
      </c>
      <c r="E13" s="9">
        <v>280</v>
      </c>
      <c r="F13" s="9">
        <v>393616</v>
      </c>
      <c r="G13" s="9" t="s">
        <v>198</v>
      </c>
      <c r="H13" s="10">
        <v>43905</v>
      </c>
      <c r="I13" s="15">
        <f t="shared" si="0"/>
        <v>2.8795811518324606E-2</v>
      </c>
      <c r="J13" s="15">
        <f t="shared" si="1"/>
        <v>0.23821989528795812</v>
      </c>
      <c r="K13" s="18">
        <f t="shared" si="2"/>
        <v>9.7048900451201169E-4</v>
      </c>
      <c r="L13" s="9" t="str" cm="1">
        <f t="array" ref="L13">_xlfn.IFS(I13&gt;5%,"High Risk",AND(I13&gt;2%,I13&lt;5%),"Modrate Risk",I13&lt;2%, "Low Risk")</f>
        <v>Modrate Risk</v>
      </c>
      <c r="S13" s="31"/>
      <c r="T13" s="32"/>
      <c r="U13" s="33"/>
    </row>
    <row r="14" spans="1:21" ht="18" customHeight="1" x14ac:dyDescent="0.25">
      <c r="A14" s="8" t="s">
        <v>17</v>
      </c>
      <c r="B14" s="8">
        <v>39482</v>
      </c>
      <c r="C14" s="8">
        <v>141</v>
      </c>
      <c r="D14" s="8">
        <v>36110</v>
      </c>
      <c r="E14" s="8">
        <v>3231</v>
      </c>
      <c r="F14" s="8">
        <v>1706669</v>
      </c>
      <c r="G14" s="8" t="s">
        <v>195</v>
      </c>
      <c r="H14" s="1">
        <v>43882</v>
      </c>
      <c r="I14" s="14">
        <f t="shared" si="0"/>
        <v>3.5712476571602247E-3</v>
      </c>
      <c r="J14" s="14">
        <f t="shared" si="1"/>
        <v>0.91459399219897675</v>
      </c>
      <c r="K14" s="17">
        <f t="shared" si="2"/>
        <v>2.3133952746548978E-2</v>
      </c>
      <c r="L14" s="8" t="str" cm="1">
        <f t="array" ref="L14">_xlfn.IFS(I14&gt;5%,"High Risk",AND(I14&gt;2%,I14&lt;5%),"Modrate Risk",I14&lt;2%, "Low Risk")</f>
        <v>Low Risk</v>
      </c>
      <c r="S14" s="31"/>
      <c r="T14" s="32"/>
      <c r="U14" s="33"/>
    </row>
    <row r="15" spans="1:21" ht="18" customHeight="1" x14ac:dyDescent="0.25">
      <c r="A15" s="9" t="s">
        <v>18</v>
      </c>
      <c r="B15" s="9">
        <v>226225</v>
      </c>
      <c r="C15" s="9">
        <v>2965</v>
      </c>
      <c r="D15" s="9">
        <v>125683</v>
      </c>
      <c r="E15" s="9">
        <v>97577</v>
      </c>
      <c r="F15" s="9">
        <v>164851401</v>
      </c>
      <c r="G15" s="9" t="s">
        <v>195</v>
      </c>
      <c r="H15" s="10">
        <v>43898</v>
      </c>
      <c r="I15" s="15">
        <f t="shared" si="0"/>
        <v>1.3106420598961211E-2</v>
      </c>
      <c r="J15" s="15">
        <f t="shared" si="1"/>
        <v>0.55556636092385903</v>
      </c>
      <c r="K15" s="18">
        <f t="shared" si="2"/>
        <v>1.3722964962851604E-3</v>
      </c>
      <c r="L15" s="9" t="str" cm="1">
        <f t="array" ref="L15">_xlfn.IFS(I15&gt;5%,"High Risk",AND(I15&gt;2%,I15&lt;5%),"Modrate Risk",I15&lt;2%, "Low Risk")</f>
        <v>Low Risk</v>
      </c>
      <c r="S15" s="31"/>
      <c r="T15" s="32"/>
      <c r="U15" s="33"/>
    </row>
    <row r="16" spans="1:21" ht="18" customHeight="1" x14ac:dyDescent="0.25">
      <c r="A16" s="8" t="s">
        <v>19</v>
      </c>
      <c r="B16" s="8">
        <v>110</v>
      </c>
      <c r="C16" s="8">
        <v>7</v>
      </c>
      <c r="D16" s="8">
        <v>94</v>
      </c>
      <c r="E16" s="8">
        <v>9</v>
      </c>
      <c r="F16" s="8">
        <v>287411</v>
      </c>
      <c r="G16" s="8" t="s">
        <v>198</v>
      </c>
      <c r="H16" s="1">
        <v>43907</v>
      </c>
      <c r="I16" s="14">
        <f t="shared" si="0"/>
        <v>6.363636363636363E-2</v>
      </c>
      <c r="J16" s="14">
        <f t="shared" si="1"/>
        <v>0.8545454545454545</v>
      </c>
      <c r="K16" s="17">
        <f t="shared" si="2"/>
        <v>3.8272717467320317E-4</v>
      </c>
      <c r="L16" s="8" t="str" cm="1">
        <f t="array" ref="L16">_xlfn.IFS(I16&gt;5%,"High Risk",AND(I16&gt;2%,I16&lt;5%),"Modrate Risk",I16&lt;2%, "Low Risk")</f>
        <v>High Risk</v>
      </c>
      <c r="S16" s="31"/>
      <c r="T16" s="32"/>
      <c r="U16" s="33"/>
    </row>
    <row r="17" spans="1:21" ht="18" customHeight="1" x14ac:dyDescent="0.25">
      <c r="A17" s="9" t="s">
        <v>20</v>
      </c>
      <c r="B17" s="9">
        <v>67251</v>
      </c>
      <c r="C17" s="9">
        <v>538</v>
      </c>
      <c r="D17" s="9">
        <v>60492</v>
      </c>
      <c r="E17" s="9">
        <v>6221</v>
      </c>
      <c r="F17" s="9">
        <v>9449001</v>
      </c>
      <c r="G17" s="9" t="s">
        <v>196</v>
      </c>
      <c r="H17" s="10">
        <v>43889</v>
      </c>
      <c r="I17" s="15">
        <f t="shared" si="0"/>
        <v>7.9998810426610764E-3</v>
      </c>
      <c r="J17" s="15">
        <f t="shared" si="1"/>
        <v>0.89949591827630815</v>
      </c>
      <c r="K17" s="18">
        <f t="shared" si="2"/>
        <v>7.1172603326002401E-3</v>
      </c>
      <c r="L17" s="9" t="str" cm="1">
        <f t="array" ref="L17">_xlfn.IFS(I17&gt;5%,"High Risk",AND(I17&gt;2%,I17&lt;5%),"Modrate Risk",I17&lt;2%, "Low Risk")</f>
        <v>Low Risk</v>
      </c>
      <c r="S17" s="31"/>
      <c r="T17" s="32"/>
      <c r="U17" s="33"/>
    </row>
    <row r="18" spans="1:21" ht="18" customHeight="1" x14ac:dyDescent="0.25">
      <c r="A18" s="8" t="s">
        <v>21</v>
      </c>
      <c r="B18" s="8">
        <v>66428</v>
      </c>
      <c r="C18" s="8">
        <v>9822</v>
      </c>
      <c r="D18" s="8">
        <v>17452</v>
      </c>
      <c r="E18" s="8">
        <v>39154</v>
      </c>
      <c r="F18" s="8">
        <v>11594739</v>
      </c>
      <c r="G18" s="8" t="s">
        <v>196</v>
      </c>
      <c r="H18" s="1">
        <v>43865</v>
      </c>
      <c r="I18" s="14">
        <f t="shared" si="0"/>
        <v>0.14785933642439936</v>
      </c>
      <c r="J18" s="14">
        <f t="shared" si="1"/>
        <v>0.26272053953152286</v>
      </c>
      <c r="K18" s="17">
        <f t="shared" si="2"/>
        <v>5.7291500912612179E-3</v>
      </c>
      <c r="L18" s="8" t="str" cm="1">
        <f t="array" ref="L18">_xlfn.IFS(I18&gt;5%,"High Risk",AND(I18&gt;2%,I18&lt;5%),"Modrate Risk",I18&lt;2%, "Low Risk")</f>
        <v>High Risk</v>
      </c>
      <c r="S18" s="31"/>
      <c r="T18" s="32"/>
      <c r="U18" s="33"/>
    </row>
    <row r="19" spans="1:21" ht="18" customHeight="1" x14ac:dyDescent="0.25">
      <c r="A19" s="9" t="s">
        <v>22</v>
      </c>
      <c r="B19" s="9">
        <v>48</v>
      </c>
      <c r="C19" s="9">
        <v>2</v>
      </c>
      <c r="D19" s="9">
        <v>26</v>
      </c>
      <c r="E19" s="9">
        <v>20</v>
      </c>
      <c r="F19" s="9">
        <v>398312</v>
      </c>
      <c r="G19" s="9" t="s">
        <v>198</v>
      </c>
      <c r="H19" s="10">
        <v>43913</v>
      </c>
      <c r="I19" s="15">
        <f t="shared" si="0"/>
        <v>4.1666666666666664E-2</v>
      </c>
      <c r="J19" s="15">
        <f t="shared" si="1"/>
        <v>0.54166666666666663</v>
      </c>
      <c r="K19" s="18">
        <f t="shared" si="2"/>
        <v>1.2050854606439174E-4</v>
      </c>
      <c r="L19" s="9" t="str" cm="1">
        <f t="array" ref="L19">_xlfn.IFS(I19&gt;5%,"High Risk",AND(I19&gt;2%,I19&lt;5%),"Modrate Risk",I19&lt;2%, "Low Risk")</f>
        <v>Modrate Risk</v>
      </c>
      <c r="S19" s="31"/>
      <c r="T19" s="32"/>
      <c r="U19" s="33"/>
    </row>
    <row r="20" spans="1:21" ht="18" customHeight="1" x14ac:dyDescent="0.25">
      <c r="A20" s="8" t="s">
        <v>23</v>
      </c>
      <c r="B20" s="8">
        <v>1770</v>
      </c>
      <c r="C20" s="8">
        <v>35</v>
      </c>
      <c r="D20" s="8">
        <v>1036</v>
      </c>
      <c r="E20" s="8">
        <v>699</v>
      </c>
      <c r="F20" s="8">
        <v>12151976</v>
      </c>
      <c r="G20" s="8" t="s">
        <v>197</v>
      </c>
      <c r="H20" s="1">
        <v>43906</v>
      </c>
      <c r="I20" s="14">
        <f t="shared" si="0"/>
        <v>1.977401129943503E-2</v>
      </c>
      <c r="J20" s="14">
        <f t="shared" si="1"/>
        <v>0.58531073446327686</v>
      </c>
      <c r="K20" s="17">
        <f t="shared" si="2"/>
        <v>1.4565532387489903E-4</v>
      </c>
      <c r="L20" s="8" t="str" cm="1">
        <f t="array" ref="L20">_xlfn.IFS(I20&gt;5%,"High Risk",AND(I20&gt;2%,I20&lt;5%),"Modrate Risk",I20&lt;2%, "Low Risk")</f>
        <v>Low Risk</v>
      </c>
      <c r="S20" s="34"/>
      <c r="T20" s="35"/>
      <c r="U20" s="36"/>
    </row>
    <row r="21" spans="1:21" ht="18" customHeight="1" x14ac:dyDescent="0.25">
      <c r="A21" s="9" t="s">
        <v>24</v>
      </c>
      <c r="B21" s="9">
        <v>99</v>
      </c>
      <c r="C21" s="9">
        <v>0</v>
      </c>
      <c r="D21" s="9">
        <v>86</v>
      </c>
      <c r="E21" s="9">
        <v>13</v>
      </c>
      <c r="F21" s="9">
        <v>772443</v>
      </c>
      <c r="G21" s="9" t="s">
        <v>195</v>
      </c>
      <c r="H21" s="10">
        <v>43896</v>
      </c>
      <c r="I21" s="15">
        <f t="shared" si="0"/>
        <v>0</v>
      </c>
      <c r="J21" s="15">
        <f t="shared" si="1"/>
        <v>0.86868686868686873</v>
      </c>
      <c r="K21" s="18">
        <f t="shared" si="2"/>
        <v>1.2816479662577045E-4</v>
      </c>
      <c r="L21" s="9" t="str" cm="1">
        <f t="array" ref="L21">_xlfn.IFS(I21&gt;5%,"High Risk",AND(I21&gt;2%,I21&lt;5%),"Modrate Risk",I21&lt;2%, "Low Risk")</f>
        <v>Low Risk</v>
      </c>
      <c r="S21"/>
      <c r="T21"/>
    </row>
    <row r="22" spans="1:21" ht="18" customHeight="1" x14ac:dyDescent="0.25">
      <c r="A22" s="8" t="s">
        <v>25</v>
      </c>
      <c r="B22" s="8">
        <v>71181</v>
      </c>
      <c r="C22" s="8">
        <v>2647</v>
      </c>
      <c r="D22" s="8">
        <v>21478</v>
      </c>
      <c r="E22" s="8">
        <v>47056</v>
      </c>
      <c r="F22" s="8">
        <v>11688459</v>
      </c>
      <c r="G22" s="8" t="s">
        <v>199</v>
      </c>
      <c r="H22" s="1">
        <v>43900</v>
      </c>
      <c r="I22" s="14">
        <f t="shared" si="0"/>
        <v>3.7186889759907839E-2</v>
      </c>
      <c r="J22" s="14">
        <f t="shared" si="1"/>
        <v>0.30173782329554233</v>
      </c>
      <c r="K22" s="17">
        <f t="shared" si="2"/>
        <v>6.0898532475495704E-3</v>
      </c>
      <c r="L22" s="8" t="str" cm="1">
        <f t="array" ref="L22">_xlfn.IFS(I22&gt;5%,"High Risk",AND(I22&gt;2%,I22&lt;5%),"Modrate Risk",I22&lt;2%, "Low Risk")</f>
        <v>Modrate Risk</v>
      </c>
      <c r="S22"/>
      <c r="T22"/>
    </row>
    <row r="23" spans="1:21" ht="18" customHeight="1" x14ac:dyDescent="0.25">
      <c r="A23" s="9" t="s">
        <v>26</v>
      </c>
      <c r="B23" s="9">
        <v>10498</v>
      </c>
      <c r="C23" s="9">
        <v>294</v>
      </c>
      <c r="D23" s="9">
        <v>4930</v>
      </c>
      <c r="E23" s="9">
        <v>5274</v>
      </c>
      <c r="F23" s="9">
        <v>3278650</v>
      </c>
      <c r="G23" s="9" t="s">
        <v>196</v>
      </c>
      <c r="H23" s="10">
        <v>43895</v>
      </c>
      <c r="I23" s="15">
        <f t="shared" si="0"/>
        <v>2.8005334349399887E-2</v>
      </c>
      <c r="J23" s="15">
        <f t="shared" si="1"/>
        <v>0.46961325966850831</v>
      </c>
      <c r="K23" s="18">
        <f t="shared" si="2"/>
        <v>3.2019276226495663E-3</v>
      </c>
      <c r="L23" s="9" t="str" cm="1">
        <f t="array" ref="L23">_xlfn.IFS(I23&gt;5%,"High Risk",AND(I23&gt;2%,I23&lt;5%),"Modrate Risk",I23&lt;2%, "Low Risk")</f>
        <v>Modrate Risk</v>
      </c>
      <c r="S23"/>
      <c r="T23"/>
    </row>
    <row r="24" spans="1:21" ht="18" customHeight="1" x14ac:dyDescent="0.25">
      <c r="A24" s="8" t="s">
        <v>27</v>
      </c>
      <c r="B24" s="8">
        <v>739</v>
      </c>
      <c r="C24" s="8">
        <v>2</v>
      </c>
      <c r="D24" s="8">
        <v>63</v>
      </c>
      <c r="E24" s="8">
        <v>674</v>
      </c>
      <c r="F24" s="8">
        <v>2356075</v>
      </c>
      <c r="G24" s="8" t="s">
        <v>197</v>
      </c>
      <c r="H24" s="1">
        <v>43920</v>
      </c>
      <c r="I24" s="14">
        <f t="shared" si="0"/>
        <v>2.7063599458728013E-3</v>
      </c>
      <c r="J24" s="14">
        <f t="shared" si="1"/>
        <v>8.5250338294993233E-2</v>
      </c>
      <c r="K24" s="17">
        <f t="shared" si="2"/>
        <v>3.1365724775314879E-4</v>
      </c>
      <c r="L24" s="8" t="str" cm="1">
        <f t="array" ref="L24">_xlfn.IFS(I24&gt;5%,"High Risk",AND(I24&gt;2%,I24&lt;5%),"Modrate Risk",I24&lt;2%, "Low Risk")</f>
        <v>Low Risk</v>
      </c>
      <c r="S24"/>
      <c r="T24"/>
    </row>
    <row r="25" spans="1:21" ht="18" customHeight="1" x14ac:dyDescent="0.25">
      <c r="A25" s="9" t="s">
        <v>28</v>
      </c>
      <c r="B25" s="9">
        <v>2442375</v>
      </c>
      <c r="C25" s="9">
        <v>87618</v>
      </c>
      <c r="D25" s="9">
        <v>1846641</v>
      </c>
      <c r="E25" s="9">
        <v>508116</v>
      </c>
      <c r="F25" s="9">
        <v>212710692</v>
      </c>
      <c r="G25" s="9" t="s">
        <v>199</v>
      </c>
      <c r="H25" s="10">
        <v>43887</v>
      </c>
      <c r="I25" s="15">
        <f t="shared" si="0"/>
        <v>3.5874097957930291E-2</v>
      </c>
      <c r="J25" s="15">
        <f t="shared" si="1"/>
        <v>0.75608413941348074</v>
      </c>
      <c r="K25" s="18">
        <f t="shared" si="2"/>
        <v>1.1482144959596107E-2</v>
      </c>
      <c r="L25" s="9" t="str" cm="1">
        <f t="array" ref="L25">_xlfn.IFS(I25&gt;5%,"High Risk",AND(I25&gt;2%,I25&lt;5%),"Modrate Risk",I25&lt;2%, "Low Risk")</f>
        <v>Modrate Risk</v>
      </c>
      <c r="S25"/>
      <c r="T25"/>
    </row>
    <row r="26" spans="1:21" ht="18" customHeight="1" x14ac:dyDescent="0.25">
      <c r="A26" s="8" t="s">
        <v>29</v>
      </c>
      <c r="B26" s="8">
        <v>141</v>
      </c>
      <c r="C26" s="8">
        <v>3</v>
      </c>
      <c r="D26" s="8">
        <v>138</v>
      </c>
      <c r="E26" s="8">
        <v>0</v>
      </c>
      <c r="F26" s="8">
        <v>437893</v>
      </c>
      <c r="G26" s="8" t="s">
        <v>195</v>
      </c>
      <c r="H26" s="1">
        <v>43899</v>
      </c>
      <c r="I26" s="14">
        <f t="shared" si="0"/>
        <v>2.1276595744680851E-2</v>
      </c>
      <c r="J26" s="14">
        <f t="shared" si="1"/>
        <v>0.97872340425531912</v>
      </c>
      <c r="K26" s="17">
        <f t="shared" si="2"/>
        <v>3.2199646945715047E-4</v>
      </c>
      <c r="L26" s="8" t="str" cm="1">
        <f t="array" ref="L26">_xlfn.IFS(I26&gt;5%,"High Risk",AND(I26&gt;2%,I26&lt;5%),"Modrate Risk",I26&lt;2%, "Low Risk")</f>
        <v>Modrate Risk</v>
      </c>
      <c r="S26"/>
      <c r="T26"/>
    </row>
    <row r="27" spans="1:21" ht="18" customHeight="1" x14ac:dyDescent="0.25">
      <c r="A27" s="9" t="s">
        <v>30</v>
      </c>
      <c r="B27" s="9">
        <v>10621</v>
      </c>
      <c r="C27" s="9">
        <v>347</v>
      </c>
      <c r="D27" s="9">
        <v>5585</v>
      </c>
      <c r="E27" s="9">
        <v>4689</v>
      </c>
      <c r="F27" s="9">
        <v>6942854</v>
      </c>
      <c r="G27" s="9" t="s">
        <v>196</v>
      </c>
      <c r="H27" s="10">
        <v>43898</v>
      </c>
      <c r="I27" s="15">
        <f t="shared" si="0"/>
        <v>3.2671123246398641E-2</v>
      </c>
      <c r="J27" s="15">
        <f t="shared" si="1"/>
        <v>0.52584502400903865</v>
      </c>
      <c r="K27" s="18">
        <f t="shared" si="2"/>
        <v>1.5297743550418891E-3</v>
      </c>
      <c r="L27" s="9" t="str" cm="1">
        <f t="array" ref="L27">_xlfn.IFS(I27&gt;5%,"High Risk",AND(I27&gt;2%,I27&lt;5%),"Modrate Risk",I27&lt;2%, "Low Risk")</f>
        <v>Modrate Risk</v>
      </c>
      <c r="S27"/>
      <c r="T27"/>
    </row>
    <row r="28" spans="1:21" ht="18" customHeight="1" x14ac:dyDescent="0.25">
      <c r="A28" s="8" t="s">
        <v>31</v>
      </c>
      <c r="B28" s="8">
        <v>1100</v>
      </c>
      <c r="C28" s="8">
        <v>53</v>
      </c>
      <c r="D28" s="8">
        <v>926</v>
      </c>
      <c r="E28" s="8">
        <v>121</v>
      </c>
      <c r="F28" s="8">
        <v>20954852</v>
      </c>
      <c r="G28" s="8" t="s">
        <v>197</v>
      </c>
      <c r="H28" s="1">
        <v>43899</v>
      </c>
      <c r="I28" s="14">
        <f t="shared" si="0"/>
        <v>4.818181818181818E-2</v>
      </c>
      <c r="J28" s="14">
        <f t="shared" si="1"/>
        <v>0.8418181818181818</v>
      </c>
      <c r="K28" s="17">
        <f t="shared" si="2"/>
        <v>5.2493809071044739E-5</v>
      </c>
      <c r="L28" s="8" t="str" cm="1">
        <f t="array" ref="L28">_xlfn.IFS(I28&gt;5%,"High Risk",AND(I28&gt;2%,I28&lt;5%),"Modrate Risk",I28&lt;2%, "Low Risk")</f>
        <v>Modrate Risk</v>
      </c>
      <c r="S28"/>
      <c r="T28"/>
    </row>
    <row r="29" spans="1:21" ht="18" customHeight="1" x14ac:dyDescent="0.25">
      <c r="A29" s="9" t="s">
        <v>191</v>
      </c>
      <c r="B29" s="9">
        <v>350</v>
      </c>
      <c r="C29" s="9">
        <v>6</v>
      </c>
      <c r="D29" s="9">
        <v>292</v>
      </c>
      <c r="E29" s="9">
        <v>52</v>
      </c>
      <c r="F29" s="9">
        <v>54446389</v>
      </c>
      <c r="G29" s="9" t="s">
        <v>195</v>
      </c>
      <c r="H29" s="10">
        <v>43913</v>
      </c>
      <c r="I29" s="15">
        <f t="shared" si="0"/>
        <v>1.7142857142857144E-2</v>
      </c>
      <c r="J29" s="15">
        <f t="shared" si="1"/>
        <v>0.8342857142857143</v>
      </c>
      <c r="K29" s="18">
        <f t="shared" si="2"/>
        <v>6.4283418318155129E-6</v>
      </c>
      <c r="L29" s="9" t="str" cm="1">
        <f t="array" ref="L29">_xlfn.IFS(I29&gt;5%,"High Risk",AND(I29&gt;2%,I29&lt;5%),"Modrate Risk",I29&lt;2%, "Low Risk")</f>
        <v>Low Risk</v>
      </c>
      <c r="S29"/>
      <c r="T29"/>
    </row>
    <row r="30" spans="1:21" ht="18" customHeight="1" x14ac:dyDescent="0.25">
      <c r="A30" s="8" t="s">
        <v>32</v>
      </c>
      <c r="B30" s="8">
        <v>378</v>
      </c>
      <c r="C30" s="8">
        <v>1</v>
      </c>
      <c r="D30" s="8">
        <v>301</v>
      </c>
      <c r="E30" s="8">
        <v>76</v>
      </c>
      <c r="F30" s="8">
        <v>11922216</v>
      </c>
      <c r="G30" s="8" t="s">
        <v>197</v>
      </c>
      <c r="H30" s="1">
        <v>43921</v>
      </c>
      <c r="I30" s="14">
        <f t="shared" si="0"/>
        <v>2.6455026455026454E-3</v>
      </c>
      <c r="J30" s="14">
        <f t="shared" si="1"/>
        <v>0.79629629629629628</v>
      </c>
      <c r="K30" s="17">
        <f t="shared" si="2"/>
        <v>3.1705515149197092E-5</v>
      </c>
      <c r="L30" s="8" t="str" cm="1">
        <f t="array" ref="L30">_xlfn.IFS(I30&gt;5%,"High Risk",AND(I30&gt;2%,I30&lt;5%),"Modrate Risk",I30&lt;2%, "Low Risk")</f>
        <v>Low Risk</v>
      </c>
      <c r="S30"/>
      <c r="T30"/>
    </row>
    <row r="31" spans="1:21" ht="18" customHeight="1" x14ac:dyDescent="0.25">
      <c r="A31" s="9" t="s">
        <v>33</v>
      </c>
      <c r="B31" s="9">
        <v>2328</v>
      </c>
      <c r="C31" s="9">
        <v>22</v>
      </c>
      <c r="D31" s="9">
        <v>1550</v>
      </c>
      <c r="E31" s="9">
        <v>756</v>
      </c>
      <c r="F31" s="9">
        <v>556581</v>
      </c>
      <c r="G31" s="9" t="s">
        <v>197</v>
      </c>
      <c r="H31" s="10">
        <v>43910</v>
      </c>
      <c r="I31" s="15">
        <f t="shared" si="0"/>
        <v>9.4501718213058413E-3</v>
      </c>
      <c r="J31" s="15">
        <f t="shared" si="1"/>
        <v>0.66580756013745701</v>
      </c>
      <c r="K31" s="18">
        <f t="shared" si="2"/>
        <v>4.1826796099759065E-3</v>
      </c>
      <c r="L31" s="9" t="str" cm="1">
        <f t="array" ref="L31">_xlfn.IFS(I31&gt;5%,"High Risk",AND(I31&gt;2%,I31&lt;5%),"Modrate Risk",I31&lt;2%, "Low Risk")</f>
        <v>Low Risk</v>
      </c>
      <c r="S31"/>
      <c r="T31"/>
    </row>
    <row r="32" spans="1:21" ht="18" customHeight="1" x14ac:dyDescent="0.25">
      <c r="A32" s="8" t="s">
        <v>34</v>
      </c>
      <c r="B32" s="8">
        <v>226</v>
      </c>
      <c r="C32" s="8">
        <v>0</v>
      </c>
      <c r="D32" s="8">
        <v>147</v>
      </c>
      <c r="E32" s="8">
        <v>79</v>
      </c>
      <c r="F32" s="8">
        <v>16741375</v>
      </c>
      <c r="G32" s="8" t="s">
        <v>195</v>
      </c>
      <c r="H32" s="1">
        <v>43857</v>
      </c>
      <c r="I32" s="14">
        <f t="shared" si="0"/>
        <v>0</v>
      </c>
      <c r="J32" s="14">
        <f t="shared" si="1"/>
        <v>0.65044247787610621</v>
      </c>
      <c r="K32" s="17">
        <f t="shared" si="2"/>
        <v>1.349948854260776E-5</v>
      </c>
      <c r="L32" s="8" t="str" cm="1">
        <f t="array" ref="L32">_xlfn.IFS(I32&gt;5%,"High Risk",AND(I32&gt;2%,I32&lt;5%),"Modrate Risk",I32&lt;2%, "Low Risk")</f>
        <v>Low Risk</v>
      </c>
      <c r="S32"/>
      <c r="T32"/>
    </row>
    <row r="33" spans="1:20" ht="18" customHeight="1" x14ac:dyDescent="0.25">
      <c r="A33" s="9" t="s">
        <v>35</v>
      </c>
      <c r="B33" s="9">
        <v>17110</v>
      </c>
      <c r="C33" s="9">
        <v>391</v>
      </c>
      <c r="D33" s="9">
        <v>14539</v>
      </c>
      <c r="E33" s="9">
        <v>2180</v>
      </c>
      <c r="F33" s="9">
        <v>26606188</v>
      </c>
      <c r="G33" s="9" t="s">
        <v>197</v>
      </c>
      <c r="H33" s="10">
        <v>43896</v>
      </c>
      <c r="I33" s="15">
        <f t="shared" si="0"/>
        <v>2.2852133255406196E-2</v>
      </c>
      <c r="J33" s="15">
        <f t="shared" si="1"/>
        <v>0.84973699590882523</v>
      </c>
      <c r="K33" s="18">
        <f t="shared" si="2"/>
        <v>6.4308348118114476E-4</v>
      </c>
      <c r="L33" s="9" t="str" cm="1">
        <f t="array" ref="L33">_xlfn.IFS(I33&gt;5%,"High Risk",AND(I33&gt;2%,I33&lt;5%),"Modrate Risk",I33&lt;2%, "Low Risk")</f>
        <v>Modrate Risk</v>
      </c>
      <c r="S33"/>
      <c r="T33"/>
    </row>
    <row r="34" spans="1:20" ht="18" customHeight="1" x14ac:dyDescent="0.25">
      <c r="A34" s="8" t="s">
        <v>36</v>
      </c>
      <c r="B34" s="8">
        <v>116458</v>
      </c>
      <c r="C34" s="8">
        <v>8944</v>
      </c>
      <c r="D34" s="8">
        <v>0</v>
      </c>
      <c r="E34" s="8">
        <v>107514</v>
      </c>
      <c r="F34" s="8">
        <v>37775022</v>
      </c>
      <c r="G34" s="8" t="s">
        <v>198</v>
      </c>
      <c r="H34" s="1">
        <v>43855</v>
      </c>
      <c r="I34" s="14">
        <f t="shared" ref="I34:I65" si="3">C34/B34</f>
        <v>7.6800219821738305E-2</v>
      </c>
      <c r="J34" s="14">
        <f t="shared" ref="J34:J65" si="4">D34/B34</f>
        <v>0</v>
      </c>
      <c r="K34" s="17">
        <f t="shared" ref="K34:K65" si="5">B34/F34</f>
        <v>3.0829366558674672E-3</v>
      </c>
      <c r="L34" s="8" t="str" cm="1">
        <f t="array" ref="L34">_xlfn.IFS(I34&gt;5%,"High Risk",AND(I34&gt;2%,I34&lt;5%),"Modrate Risk",I34&lt;2%, "Low Risk")</f>
        <v>High Risk</v>
      </c>
      <c r="S34"/>
      <c r="T34"/>
    </row>
    <row r="35" spans="1:20" ht="18" customHeight="1" x14ac:dyDescent="0.25">
      <c r="A35" s="9" t="s">
        <v>37</v>
      </c>
      <c r="B35" s="9">
        <v>4599</v>
      </c>
      <c r="C35" s="9">
        <v>59</v>
      </c>
      <c r="D35" s="9">
        <v>1546</v>
      </c>
      <c r="E35" s="9">
        <v>2994</v>
      </c>
      <c r="F35" s="9">
        <v>4837752</v>
      </c>
      <c r="G35" s="9" t="s">
        <v>197</v>
      </c>
      <c r="H35" s="10">
        <v>43904</v>
      </c>
      <c r="I35" s="15">
        <f t="shared" si="3"/>
        <v>1.2828875842574472E-2</v>
      </c>
      <c r="J35" s="15">
        <f t="shared" si="4"/>
        <v>0.33616003479017176</v>
      </c>
      <c r="K35" s="18">
        <f t="shared" si="5"/>
        <v>9.5064815228229974E-4</v>
      </c>
      <c r="L35" s="9" t="str" cm="1">
        <f t="array" ref="L35">_xlfn.IFS(I35&gt;5%,"High Risk",AND(I35&gt;2%,I35&lt;5%),"Modrate Risk",I35&lt;2%, "Low Risk")</f>
        <v>Low Risk</v>
      </c>
      <c r="S35"/>
      <c r="T35"/>
    </row>
    <row r="36" spans="1:20" ht="18" customHeight="1" x14ac:dyDescent="0.25">
      <c r="A36" s="8" t="s">
        <v>38</v>
      </c>
      <c r="B36" s="8">
        <v>922</v>
      </c>
      <c r="C36" s="8">
        <v>75</v>
      </c>
      <c r="D36" s="8">
        <v>810</v>
      </c>
      <c r="E36" s="8">
        <v>37</v>
      </c>
      <c r="F36" s="11">
        <v>17224679</v>
      </c>
      <c r="G36" s="8" t="s">
        <v>197</v>
      </c>
      <c r="H36" s="1">
        <v>43909</v>
      </c>
      <c r="I36" s="14">
        <f t="shared" si="3"/>
        <v>8.1344902386117135E-2</v>
      </c>
      <c r="J36" s="14">
        <f t="shared" si="4"/>
        <v>0.87852494577006512</v>
      </c>
      <c r="K36" s="17">
        <f t="shared" si="5"/>
        <v>5.3527848037110008E-5</v>
      </c>
      <c r="L36" s="8" t="str" cm="1">
        <f t="array" ref="L36">_xlfn.IFS(I36&gt;5%,"High Risk",AND(I36&gt;2%,I36&lt;5%),"Modrate Risk",I36&lt;2%, "Low Risk")</f>
        <v>High Risk</v>
      </c>
      <c r="S36"/>
      <c r="T36"/>
    </row>
    <row r="37" spans="1:20" ht="18" customHeight="1" x14ac:dyDescent="0.25">
      <c r="A37" s="9" t="s">
        <v>39</v>
      </c>
      <c r="B37" s="9">
        <v>347923</v>
      </c>
      <c r="C37" s="9">
        <v>9187</v>
      </c>
      <c r="D37" s="9">
        <v>319954</v>
      </c>
      <c r="E37" s="9">
        <v>18782</v>
      </c>
      <c r="F37" s="9">
        <v>19132514</v>
      </c>
      <c r="G37" s="9" t="s">
        <v>199</v>
      </c>
      <c r="H37" s="10">
        <v>43893</v>
      </c>
      <c r="I37" s="15">
        <f t="shared" si="3"/>
        <v>2.6405267832250241E-2</v>
      </c>
      <c r="J37" s="15">
        <f t="shared" si="4"/>
        <v>0.91961152323933748</v>
      </c>
      <c r="K37" s="18">
        <f t="shared" si="5"/>
        <v>1.8184907639424697E-2</v>
      </c>
      <c r="L37" s="9" t="str" cm="1">
        <f t="array" ref="L37">_xlfn.IFS(I37&gt;5%,"High Risk",AND(I37&gt;2%,I37&lt;5%),"Modrate Risk",I37&lt;2%, "Low Risk")</f>
        <v>Modrate Risk</v>
      </c>
      <c r="S37"/>
      <c r="T37"/>
    </row>
    <row r="38" spans="1:20" ht="18" customHeight="1" x14ac:dyDescent="0.25">
      <c r="A38" s="8" t="s">
        <v>40</v>
      </c>
      <c r="B38" s="8">
        <v>86783</v>
      </c>
      <c r="C38" s="8">
        <v>4656</v>
      </c>
      <c r="D38" s="8">
        <v>78869</v>
      </c>
      <c r="E38" s="8">
        <v>3258</v>
      </c>
      <c r="F38" s="11">
        <v>1411778724</v>
      </c>
      <c r="G38" s="8" t="s">
        <v>197</v>
      </c>
      <c r="H38" s="1">
        <v>43786</v>
      </c>
      <c r="I38" s="14">
        <f t="shared" si="3"/>
        <v>5.365106069161011E-2</v>
      </c>
      <c r="J38" s="14">
        <f t="shared" si="4"/>
        <v>0.90880702441722461</v>
      </c>
      <c r="K38" s="17">
        <f t="shared" si="5"/>
        <v>6.1470681293536756E-5</v>
      </c>
      <c r="L38" s="8" t="str" cm="1">
        <f t="array" ref="L38">_xlfn.IFS(I38&gt;5%,"High Risk",AND(I38&gt;2%,I38&lt;5%),"Modrate Risk",I38&lt;2%, "Low Risk")</f>
        <v>High Risk</v>
      </c>
      <c r="S38"/>
      <c r="T38"/>
    </row>
    <row r="39" spans="1:20" ht="18" customHeight="1" x14ac:dyDescent="0.25">
      <c r="A39" s="9" t="s">
        <v>41</v>
      </c>
      <c r="B39" s="9">
        <v>257101</v>
      </c>
      <c r="C39" s="9">
        <v>8777</v>
      </c>
      <c r="D39" s="9">
        <v>131161</v>
      </c>
      <c r="E39" s="9">
        <v>117163</v>
      </c>
      <c r="F39" s="9">
        <v>50936262</v>
      </c>
      <c r="G39" s="9" t="s">
        <v>199</v>
      </c>
      <c r="H39" s="10">
        <v>43896</v>
      </c>
      <c r="I39" s="15">
        <f t="shared" si="3"/>
        <v>3.4138334740043796E-2</v>
      </c>
      <c r="J39" s="15">
        <f t="shared" si="4"/>
        <v>0.51015359722443709</v>
      </c>
      <c r="K39" s="18">
        <f t="shared" si="5"/>
        <v>5.0475042711222119E-3</v>
      </c>
      <c r="L39" s="9" t="str" cm="1">
        <f t="array" ref="L39">_xlfn.IFS(I39&gt;5%,"High Risk",AND(I39&gt;2%,I39&lt;5%),"Modrate Risk",I39&lt;2%, "Low Risk")</f>
        <v>Modrate Risk</v>
      </c>
      <c r="S39"/>
      <c r="T39"/>
    </row>
    <row r="40" spans="1:20" ht="18" customHeight="1" x14ac:dyDescent="0.25">
      <c r="A40" s="8" t="s">
        <v>42</v>
      </c>
      <c r="B40" s="8">
        <v>354</v>
      </c>
      <c r="C40" s="8">
        <v>7</v>
      </c>
      <c r="D40" s="8">
        <v>328</v>
      </c>
      <c r="E40" s="8">
        <v>19</v>
      </c>
      <c r="F40" s="8">
        <v>871326</v>
      </c>
      <c r="G40" s="8" t="s">
        <v>197</v>
      </c>
      <c r="H40" s="1">
        <v>43951</v>
      </c>
      <c r="I40" s="14">
        <f t="shared" si="3"/>
        <v>1.977401129943503E-2</v>
      </c>
      <c r="J40" s="14">
        <f t="shared" si="4"/>
        <v>0.92655367231638419</v>
      </c>
      <c r="K40" s="17">
        <f t="shared" si="5"/>
        <v>4.0627732903643414E-4</v>
      </c>
      <c r="L40" s="8" t="str" cm="1">
        <f t="array" ref="L40">_xlfn.IFS(I40&gt;5%,"High Risk",AND(I40&gt;2%,I40&lt;5%),"Modrate Risk",I40&lt;2%, "Low Risk")</f>
        <v>Low Risk</v>
      </c>
      <c r="S40"/>
      <c r="T40"/>
    </row>
    <row r="41" spans="1:20" ht="18" customHeight="1" x14ac:dyDescent="0.25">
      <c r="A41" s="9" t="s">
        <v>43</v>
      </c>
      <c r="B41" s="9">
        <v>3200</v>
      </c>
      <c r="C41" s="9">
        <v>54</v>
      </c>
      <c r="D41" s="9">
        <v>829</v>
      </c>
      <c r="E41" s="9">
        <v>2317</v>
      </c>
      <c r="F41" s="9">
        <v>5530506</v>
      </c>
      <c r="G41" s="9" t="s">
        <v>197</v>
      </c>
      <c r="H41" s="10">
        <v>43904</v>
      </c>
      <c r="I41" s="15">
        <f t="shared" si="3"/>
        <v>1.6875000000000001E-2</v>
      </c>
      <c r="J41" s="15">
        <f t="shared" si="4"/>
        <v>0.25906249999999997</v>
      </c>
      <c r="K41" s="18">
        <f t="shared" si="5"/>
        <v>5.7860890124701071E-4</v>
      </c>
      <c r="L41" s="9" t="str" cm="1">
        <f t="array" ref="L41">_xlfn.IFS(I41&gt;5%,"High Risk",AND(I41&gt;2%,I41&lt;5%),"Modrate Risk",I41&lt;2%, "Low Risk")</f>
        <v>Low Risk</v>
      </c>
      <c r="S41"/>
      <c r="T41"/>
    </row>
    <row r="42" spans="1:20" ht="18" customHeight="1" x14ac:dyDescent="0.25">
      <c r="A42" s="8" t="s">
        <v>44</v>
      </c>
      <c r="B42" s="8">
        <v>8844</v>
      </c>
      <c r="C42" s="8">
        <v>208</v>
      </c>
      <c r="D42" s="8">
        <v>5700</v>
      </c>
      <c r="E42" s="8">
        <v>2936</v>
      </c>
      <c r="F42" s="11">
        <v>96076573</v>
      </c>
      <c r="G42" s="8" t="s">
        <v>197</v>
      </c>
      <c r="H42" s="1">
        <v>43900</v>
      </c>
      <c r="I42" s="14">
        <f t="shared" si="3"/>
        <v>2.3518769787426504E-2</v>
      </c>
      <c r="J42" s="14">
        <f t="shared" si="4"/>
        <v>0.64450474898236088</v>
      </c>
      <c r="K42" s="17">
        <f t="shared" si="5"/>
        <v>9.2051576402501362E-5</v>
      </c>
      <c r="L42" s="8" t="str" cm="1">
        <f t="array" ref="L42">_xlfn.IFS(I42&gt;5%,"High Risk",AND(I42&gt;2%,I42&lt;5%),"Modrate Risk",I42&lt;2%, "Low Risk")</f>
        <v>Modrate Risk</v>
      </c>
      <c r="S42"/>
      <c r="T42"/>
    </row>
    <row r="43" spans="1:20" ht="18" customHeight="1" x14ac:dyDescent="0.25">
      <c r="A43" s="9" t="s">
        <v>45</v>
      </c>
      <c r="B43" s="9">
        <v>15841</v>
      </c>
      <c r="C43" s="9">
        <v>115</v>
      </c>
      <c r="D43" s="9">
        <v>3824</v>
      </c>
      <c r="E43" s="9">
        <v>11902</v>
      </c>
      <c r="F43" s="9">
        <v>5098730</v>
      </c>
      <c r="G43" s="9" t="s">
        <v>198</v>
      </c>
      <c r="H43" s="10">
        <v>43896</v>
      </c>
      <c r="I43" s="15">
        <f t="shared" si="3"/>
        <v>7.2596426993245377E-3</v>
      </c>
      <c r="J43" s="15">
        <f t="shared" si="4"/>
        <v>0.24139890158449592</v>
      </c>
      <c r="K43" s="18">
        <f t="shared" si="5"/>
        <v>3.1068520984637352E-3</v>
      </c>
      <c r="L43" s="9" t="str" cm="1">
        <f t="array" ref="L43">_xlfn.IFS(I43&gt;5%,"High Risk",AND(I43&gt;2%,I43&lt;5%),"Modrate Risk",I43&lt;2%, "Low Risk")</f>
        <v>Low Risk</v>
      </c>
      <c r="S43"/>
      <c r="T43"/>
    </row>
    <row r="44" spans="1:20" ht="18" customHeight="1" x14ac:dyDescent="0.25">
      <c r="A44" s="8" t="s">
        <v>46</v>
      </c>
      <c r="B44" s="8">
        <v>15655</v>
      </c>
      <c r="C44" s="8">
        <v>96</v>
      </c>
      <c r="D44" s="8">
        <v>10361</v>
      </c>
      <c r="E44" s="8">
        <v>5198</v>
      </c>
      <c r="F44" s="11">
        <v>26172000</v>
      </c>
      <c r="G44" s="8" t="s">
        <v>197</v>
      </c>
      <c r="H44" s="1">
        <v>43901</v>
      </c>
      <c r="I44" s="14">
        <f t="shared" si="3"/>
        <v>6.1322261258383902E-3</v>
      </c>
      <c r="J44" s="14">
        <f t="shared" si="4"/>
        <v>0.66183328010220377</v>
      </c>
      <c r="K44" s="17">
        <f t="shared" si="5"/>
        <v>5.9815833715421058E-4</v>
      </c>
      <c r="L44" s="8" t="str" cm="1">
        <f t="array" ref="L44">_xlfn.IFS(I44&gt;5%,"High Risk",AND(I44&gt;2%,I44&lt;5%),"Modrate Risk",I44&lt;2%, "Low Risk")</f>
        <v>Low Risk</v>
      </c>
      <c r="S44"/>
      <c r="T44"/>
    </row>
    <row r="45" spans="1:20" ht="18" customHeight="1" x14ac:dyDescent="0.25">
      <c r="A45" s="9" t="s">
        <v>47</v>
      </c>
      <c r="B45" s="9">
        <v>4881</v>
      </c>
      <c r="C45" s="9">
        <v>139</v>
      </c>
      <c r="D45" s="9">
        <v>3936</v>
      </c>
      <c r="E45" s="9">
        <v>806</v>
      </c>
      <c r="F45" s="9">
        <v>4102577</v>
      </c>
      <c r="G45" s="9" t="s">
        <v>196</v>
      </c>
      <c r="H45" s="10">
        <v>43886</v>
      </c>
      <c r="I45" s="15">
        <f t="shared" si="3"/>
        <v>2.8477770948576113E-2</v>
      </c>
      <c r="J45" s="15">
        <f t="shared" si="4"/>
        <v>0.80639213275968036</v>
      </c>
      <c r="K45" s="18">
        <f t="shared" si="5"/>
        <v>1.1897400097548444E-3</v>
      </c>
      <c r="L45" s="9" t="str" cm="1">
        <f t="array" ref="L45">_xlfn.IFS(I45&gt;5%,"High Risk",AND(I45&gt;2%,I45&lt;5%),"Modrate Risk",I45&lt;2%, "Low Risk")</f>
        <v>Modrate Risk</v>
      </c>
      <c r="S45"/>
      <c r="T45"/>
    </row>
    <row r="46" spans="1:20" ht="18" customHeight="1" x14ac:dyDescent="0.25">
      <c r="A46" s="8" t="s">
        <v>48</v>
      </c>
      <c r="B46" s="8">
        <v>2532</v>
      </c>
      <c r="C46" s="8">
        <v>87</v>
      </c>
      <c r="D46" s="8">
        <v>2351</v>
      </c>
      <c r="E46" s="8">
        <v>94</v>
      </c>
      <c r="F46" s="8">
        <v>11325899</v>
      </c>
      <c r="G46" s="8" t="s">
        <v>198</v>
      </c>
      <c r="H46" s="1">
        <v>43901</v>
      </c>
      <c r="I46" s="14">
        <f t="shared" si="3"/>
        <v>3.4360189573459717E-2</v>
      </c>
      <c r="J46" s="14">
        <f t="shared" si="4"/>
        <v>0.92851500789889418</v>
      </c>
      <c r="K46" s="17">
        <f t="shared" si="5"/>
        <v>2.2355841244920161E-4</v>
      </c>
      <c r="L46" s="8" t="str" cm="1">
        <f t="array" ref="L46">_xlfn.IFS(I46&gt;5%,"High Risk",AND(I46&gt;2%,I46&lt;5%),"Modrate Risk",I46&lt;2%, "Low Risk")</f>
        <v>Modrate Risk</v>
      </c>
      <c r="S46"/>
      <c r="T46"/>
    </row>
    <row r="47" spans="1:20" ht="18" customHeight="1" x14ac:dyDescent="0.25">
      <c r="A47" s="9" t="s">
        <v>49</v>
      </c>
      <c r="B47" s="9">
        <v>1060</v>
      </c>
      <c r="C47" s="9">
        <v>19</v>
      </c>
      <c r="D47" s="9">
        <v>852</v>
      </c>
      <c r="E47" s="9">
        <v>189</v>
      </c>
      <c r="F47" s="9">
        <v>1208238</v>
      </c>
      <c r="G47" s="9" t="s">
        <v>195</v>
      </c>
      <c r="H47" s="10">
        <v>43899</v>
      </c>
      <c r="I47" s="15">
        <f t="shared" si="3"/>
        <v>1.7924528301886792E-2</v>
      </c>
      <c r="J47" s="15">
        <f t="shared" si="4"/>
        <v>0.80377358490566042</v>
      </c>
      <c r="K47" s="18">
        <f t="shared" si="5"/>
        <v>8.7731059609116749E-4</v>
      </c>
      <c r="L47" s="9" t="str" cm="1">
        <f t="array" ref="L47">_xlfn.IFS(I47&gt;5%,"High Risk",AND(I47&gt;2%,I47&lt;5%),"Modrate Risk",I47&lt;2%, "Low Risk")</f>
        <v>Low Risk</v>
      </c>
      <c r="S47"/>
      <c r="T47"/>
    </row>
    <row r="48" spans="1:20" ht="18" customHeight="1" x14ac:dyDescent="0.25">
      <c r="A48" s="8" t="s">
        <v>50</v>
      </c>
      <c r="B48" s="8">
        <v>15516</v>
      </c>
      <c r="C48" s="8">
        <v>373</v>
      </c>
      <c r="D48" s="8">
        <v>11428</v>
      </c>
      <c r="E48" s="8">
        <v>3715</v>
      </c>
      <c r="F48" s="8">
        <v>10711019</v>
      </c>
      <c r="G48" s="8" t="s">
        <v>196</v>
      </c>
      <c r="H48" s="1">
        <v>43891</v>
      </c>
      <c r="I48" s="14">
        <f t="shared" si="3"/>
        <v>2.4039700953854087E-2</v>
      </c>
      <c r="J48" s="14">
        <f t="shared" si="4"/>
        <v>0.7365300335137922</v>
      </c>
      <c r="K48" s="17">
        <f t="shared" si="5"/>
        <v>1.4486016689915311E-3</v>
      </c>
      <c r="L48" s="8" t="str" cm="1">
        <f t="array" ref="L48">_xlfn.IFS(I48&gt;5%,"High Risk",AND(I48&gt;2%,I48&lt;5%),"Modrate Risk",I48&lt;2%, "Low Risk")</f>
        <v>Modrate Risk</v>
      </c>
      <c r="S48"/>
      <c r="T48"/>
    </row>
    <row r="49" spans="1:20" ht="18" customHeight="1" x14ac:dyDescent="0.25">
      <c r="A49" s="9" t="s">
        <v>51</v>
      </c>
      <c r="B49" s="9">
        <v>13761</v>
      </c>
      <c r="C49" s="9">
        <v>613</v>
      </c>
      <c r="D49" s="9">
        <v>12605</v>
      </c>
      <c r="E49" s="9">
        <v>543</v>
      </c>
      <c r="F49" s="9">
        <v>5794279</v>
      </c>
      <c r="G49" s="9" t="s">
        <v>196</v>
      </c>
      <c r="H49" s="10">
        <v>43888</v>
      </c>
      <c r="I49" s="15">
        <f t="shared" si="3"/>
        <v>4.454618123682872E-2</v>
      </c>
      <c r="J49" s="15">
        <f t="shared" si="4"/>
        <v>0.91599447714555626</v>
      </c>
      <c r="K49" s="18">
        <f t="shared" si="5"/>
        <v>2.3749287875160997E-3</v>
      </c>
      <c r="L49" s="9" t="str" cm="1">
        <f t="array" ref="L49">_xlfn.IFS(I49&gt;5%,"High Risk",AND(I49&gt;2%,I49&lt;5%),"Modrate Risk",I49&lt;2%, "Low Risk")</f>
        <v>Modrate Risk</v>
      </c>
      <c r="S49"/>
      <c r="T49"/>
    </row>
    <row r="50" spans="1:20" ht="18" customHeight="1" x14ac:dyDescent="0.25">
      <c r="A50" s="8" t="s">
        <v>52</v>
      </c>
      <c r="B50" s="8">
        <v>5059</v>
      </c>
      <c r="C50" s="8">
        <v>58</v>
      </c>
      <c r="D50" s="8">
        <v>4977</v>
      </c>
      <c r="E50" s="8">
        <v>24</v>
      </c>
      <c r="F50" s="8">
        <v>989387</v>
      </c>
      <c r="G50" s="8" t="s">
        <v>197</v>
      </c>
      <c r="H50" s="1">
        <v>43908</v>
      </c>
      <c r="I50" s="14">
        <f t="shared" si="3"/>
        <v>1.1464716347104172E-2</v>
      </c>
      <c r="J50" s="14">
        <f t="shared" si="4"/>
        <v>0.98379126309547338</v>
      </c>
      <c r="K50" s="17">
        <f t="shared" si="5"/>
        <v>5.1132671037723357E-3</v>
      </c>
      <c r="L50" s="8" t="str" cm="1">
        <f t="array" ref="L50">_xlfn.IFS(I50&gt;5%,"High Risk",AND(I50&gt;2%,I50&lt;5%),"Modrate Risk",I50&lt;2%, "Low Risk")</f>
        <v>Low Risk</v>
      </c>
      <c r="S50"/>
      <c r="T50"/>
    </row>
    <row r="51" spans="1:20" ht="18" customHeight="1" x14ac:dyDescent="0.25">
      <c r="A51" s="9" t="s">
        <v>53</v>
      </c>
      <c r="B51" s="9">
        <v>18</v>
      </c>
      <c r="C51" s="9">
        <v>0</v>
      </c>
      <c r="D51" s="9">
        <v>18</v>
      </c>
      <c r="E51" s="9">
        <v>0</v>
      </c>
      <c r="F51" s="9">
        <v>72004</v>
      </c>
      <c r="G51" s="9" t="s">
        <v>198</v>
      </c>
      <c r="H51" s="10">
        <v>43912</v>
      </c>
      <c r="I51" s="15">
        <f t="shared" si="3"/>
        <v>0</v>
      </c>
      <c r="J51" s="15">
        <f t="shared" si="4"/>
        <v>1</v>
      </c>
      <c r="K51" s="18">
        <f t="shared" si="5"/>
        <v>2.4998611188267316E-4</v>
      </c>
      <c r="L51" s="9" t="str" cm="1">
        <f t="array" ref="L51">_xlfn.IFS(I51&gt;5%,"High Risk",AND(I51&gt;2%,I51&lt;5%),"Modrate Risk",I51&lt;2%, "Low Risk")</f>
        <v>Low Risk</v>
      </c>
      <c r="S51"/>
      <c r="T51"/>
    </row>
    <row r="52" spans="1:20" ht="18" customHeight="1" x14ac:dyDescent="0.25">
      <c r="A52" s="8" t="s">
        <v>54</v>
      </c>
      <c r="B52" s="8">
        <v>64156</v>
      </c>
      <c r="C52" s="8">
        <v>1083</v>
      </c>
      <c r="D52" s="8">
        <v>30204</v>
      </c>
      <c r="E52" s="8">
        <v>32869</v>
      </c>
      <c r="F52" s="8">
        <v>10858648</v>
      </c>
      <c r="G52" s="8" t="s">
        <v>198</v>
      </c>
      <c r="H52" s="1">
        <v>43891</v>
      </c>
      <c r="I52" s="14">
        <f t="shared" si="3"/>
        <v>1.688072822495168E-2</v>
      </c>
      <c r="J52" s="14">
        <f t="shared" si="4"/>
        <v>0.47078994949809838</v>
      </c>
      <c r="K52" s="17">
        <f t="shared" si="5"/>
        <v>5.9082861881147638E-3</v>
      </c>
      <c r="L52" s="8" t="str" cm="1">
        <f t="array" ref="L52">_xlfn.IFS(I52&gt;5%,"High Risk",AND(I52&gt;2%,I52&lt;5%),"Modrate Risk",I52&lt;2%, "Low Risk")</f>
        <v>Low Risk</v>
      </c>
      <c r="S52"/>
      <c r="T52"/>
    </row>
    <row r="53" spans="1:20" ht="18" customHeight="1" x14ac:dyDescent="0.25">
      <c r="A53" s="9" t="s">
        <v>55</v>
      </c>
      <c r="B53" s="9">
        <v>81161</v>
      </c>
      <c r="C53" s="9">
        <v>5532</v>
      </c>
      <c r="D53" s="9">
        <v>34896</v>
      </c>
      <c r="E53" s="9">
        <v>40733</v>
      </c>
      <c r="F53" s="9">
        <v>17668824</v>
      </c>
      <c r="G53" s="9" t="s">
        <v>199</v>
      </c>
      <c r="H53" s="10">
        <v>43890</v>
      </c>
      <c r="I53" s="15">
        <f t="shared" si="3"/>
        <v>6.8160816155542689E-2</v>
      </c>
      <c r="J53" s="15">
        <f t="shared" si="4"/>
        <v>0.42996020256034301</v>
      </c>
      <c r="K53" s="18">
        <f t="shared" si="5"/>
        <v>4.5934579460410038E-3</v>
      </c>
      <c r="L53" s="9" t="str" cm="1">
        <f t="array" ref="L53">_xlfn.IFS(I53&gt;5%,"High Risk",AND(I53&gt;2%,I53&lt;5%),"Modrate Risk",I53&lt;2%, "Low Risk")</f>
        <v>High Risk</v>
      </c>
      <c r="S53"/>
      <c r="T53"/>
    </row>
    <row r="54" spans="1:20" ht="18" customHeight="1" x14ac:dyDescent="0.25">
      <c r="A54" s="8" t="s">
        <v>56</v>
      </c>
      <c r="B54" s="8">
        <v>92482</v>
      </c>
      <c r="C54" s="8">
        <v>4652</v>
      </c>
      <c r="D54" s="8">
        <v>34838</v>
      </c>
      <c r="E54" s="8">
        <v>52992</v>
      </c>
      <c r="F54" s="8">
        <v>102516525</v>
      </c>
      <c r="G54" s="8" t="s">
        <v>197</v>
      </c>
      <c r="H54" s="1">
        <v>43875</v>
      </c>
      <c r="I54" s="14">
        <f t="shared" si="3"/>
        <v>5.0301680326982547E-2</v>
      </c>
      <c r="J54" s="14">
        <f t="shared" si="4"/>
        <v>0.37670033087519733</v>
      </c>
      <c r="K54" s="17">
        <f t="shared" si="5"/>
        <v>9.0211797561417541E-4</v>
      </c>
      <c r="L54" s="8" t="str" cm="1">
        <f t="array" ref="L54">_xlfn.IFS(I54&gt;5%,"High Risk",AND(I54&gt;2%,I54&lt;5%),"Modrate Risk",I54&lt;2%, "Low Risk")</f>
        <v>High Risk</v>
      </c>
      <c r="S54"/>
      <c r="T54"/>
    </row>
    <row r="55" spans="1:20" ht="18" customHeight="1" x14ac:dyDescent="0.25">
      <c r="A55" s="9" t="s">
        <v>57</v>
      </c>
      <c r="B55" s="9">
        <v>15035</v>
      </c>
      <c r="C55" s="9">
        <v>408</v>
      </c>
      <c r="D55" s="9">
        <v>7778</v>
      </c>
      <c r="E55" s="9">
        <v>6849</v>
      </c>
      <c r="F55" s="9">
        <v>6489514</v>
      </c>
      <c r="G55" s="9" t="s">
        <v>198</v>
      </c>
      <c r="H55" s="10">
        <v>43909</v>
      </c>
      <c r="I55" s="15">
        <f t="shared" si="3"/>
        <v>2.7136681077485868E-2</v>
      </c>
      <c r="J55" s="15">
        <f t="shared" si="4"/>
        <v>0.51732623877618888</v>
      </c>
      <c r="K55" s="18">
        <f t="shared" si="5"/>
        <v>2.3168144794818227E-3</v>
      </c>
      <c r="L55" s="9" t="str" cm="1">
        <f t="array" ref="L55">_xlfn.IFS(I55&gt;5%,"High Risk",AND(I55&gt;2%,I55&lt;5%),"Modrate Risk",I55&lt;2%, "Low Risk")</f>
        <v>Modrate Risk</v>
      </c>
      <c r="S55"/>
      <c r="T55"/>
    </row>
    <row r="56" spans="1:20" ht="18" customHeight="1" x14ac:dyDescent="0.25">
      <c r="A56" s="8" t="s">
        <v>58</v>
      </c>
      <c r="B56" s="8">
        <v>3071</v>
      </c>
      <c r="C56" s="8">
        <v>51</v>
      </c>
      <c r="D56" s="8">
        <v>842</v>
      </c>
      <c r="E56" s="8">
        <v>2178</v>
      </c>
      <c r="F56" s="8">
        <v>1407001</v>
      </c>
      <c r="G56" s="8" t="s">
        <v>197</v>
      </c>
      <c r="H56" s="1">
        <v>43904</v>
      </c>
      <c r="I56" s="14">
        <f t="shared" si="3"/>
        <v>1.6606968414197329E-2</v>
      </c>
      <c r="J56" s="14">
        <f t="shared" si="4"/>
        <v>0.27417779225008143</v>
      </c>
      <c r="K56" s="17">
        <f t="shared" si="5"/>
        <v>2.1826565865980196E-3</v>
      </c>
      <c r="L56" s="8" t="str" cm="1">
        <f t="array" ref="L56">_xlfn.IFS(I56&gt;5%,"High Risk",AND(I56&gt;2%,I56&lt;5%),"Modrate Risk",I56&lt;2%, "Low Risk")</f>
        <v>Low Risk</v>
      </c>
      <c r="S56"/>
      <c r="T56"/>
    </row>
    <row r="57" spans="1:20" ht="18" customHeight="1" x14ac:dyDescent="0.25">
      <c r="A57" s="9" t="s">
        <v>59</v>
      </c>
      <c r="B57" s="9">
        <v>265</v>
      </c>
      <c r="C57" s="9">
        <v>0</v>
      </c>
      <c r="D57" s="9">
        <v>191</v>
      </c>
      <c r="E57" s="9">
        <v>74</v>
      </c>
      <c r="F57" s="9">
        <v>3551175</v>
      </c>
      <c r="G57" s="9" t="s">
        <v>197</v>
      </c>
      <c r="H57" s="10">
        <v>43911</v>
      </c>
      <c r="I57" s="15">
        <f t="shared" si="3"/>
        <v>0</v>
      </c>
      <c r="J57" s="15">
        <f t="shared" si="4"/>
        <v>0.72075471698113203</v>
      </c>
      <c r="K57" s="18">
        <f t="shared" si="5"/>
        <v>7.4623188099713479E-5</v>
      </c>
      <c r="L57" s="9" t="str" cm="1">
        <f t="array" ref="L57">_xlfn.IFS(I57&gt;5%,"High Risk",AND(I57&gt;2%,I57&lt;5%),"Modrate Risk",I57&lt;2%, "Low Risk")</f>
        <v>Low Risk</v>
      </c>
      <c r="S57"/>
      <c r="T57"/>
    </row>
    <row r="58" spans="1:20" ht="18" customHeight="1" x14ac:dyDescent="0.25">
      <c r="A58" s="8" t="s">
        <v>60</v>
      </c>
      <c r="B58" s="8">
        <v>2034</v>
      </c>
      <c r="C58" s="8">
        <v>69</v>
      </c>
      <c r="D58" s="8">
        <v>1923</v>
      </c>
      <c r="E58" s="8">
        <v>42</v>
      </c>
      <c r="F58" s="8">
        <v>1326627</v>
      </c>
      <c r="G58" s="8" t="s">
        <v>196</v>
      </c>
      <c r="H58" s="1">
        <v>43888</v>
      </c>
      <c r="I58" s="14">
        <f t="shared" si="3"/>
        <v>3.3923303834808259E-2</v>
      </c>
      <c r="J58" s="14">
        <f t="shared" si="4"/>
        <v>0.94542772861356927</v>
      </c>
      <c r="K58" s="17">
        <f t="shared" si="5"/>
        <v>1.5332116714042456E-3</v>
      </c>
      <c r="L58" s="8" t="str" cm="1">
        <f t="array" ref="L58">_xlfn.IFS(I58&gt;5%,"High Risk",AND(I58&gt;2%,I58&lt;5%),"Modrate Risk",I58&lt;2%, "Low Risk")</f>
        <v>Modrate Risk</v>
      </c>
      <c r="S58"/>
      <c r="T58"/>
    </row>
    <row r="59" spans="1:20" ht="18" customHeight="1" x14ac:dyDescent="0.25">
      <c r="A59" s="9" t="s">
        <v>61</v>
      </c>
      <c r="B59" s="9">
        <v>2316</v>
      </c>
      <c r="C59" s="9">
        <v>34</v>
      </c>
      <c r="D59" s="9">
        <v>1025</v>
      </c>
      <c r="E59" s="9">
        <v>1257</v>
      </c>
      <c r="F59" s="9">
        <v>1161348</v>
      </c>
      <c r="G59" s="9" t="s">
        <v>197</v>
      </c>
      <c r="H59" s="10">
        <v>43904</v>
      </c>
      <c r="I59" s="15">
        <f t="shared" si="3"/>
        <v>1.468048359240069E-2</v>
      </c>
      <c r="J59" s="15">
        <f t="shared" si="4"/>
        <v>0.442573402417962</v>
      </c>
      <c r="K59" s="18">
        <f t="shared" si="5"/>
        <v>1.9942342863637774E-3</v>
      </c>
      <c r="L59" s="9" t="str" cm="1">
        <f t="array" ref="L59">_xlfn.IFS(I59&gt;5%,"High Risk",AND(I59&gt;2%,I59&lt;5%),"Modrate Risk",I59&lt;2%, "Low Risk")</f>
        <v>Low Risk</v>
      </c>
      <c r="S59"/>
      <c r="T59"/>
    </row>
    <row r="60" spans="1:20" ht="18" customHeight="1" x14ac:dyDescent="0.25">
      <c r="A60" s="8" t="s">
        <v>62</v>
      </c>
      <c r="B60" s="8">
        <v>14547</v>
      </c>
      <c r="C60" s="8">
        <v>228</v>
      </c>
      <c r="D60" s="8">
        <v>6386</v>
      </c>
      <c r="E60" s="8">
        <v>7933</v>
      </c>
      <c r="F60" s="8">
        <v>115223736</v>
      </c>
      <c r="G60" s="8" t="s">
        <v>197</v>
      </c>
      <c r="H60" s="1">
        <v>43903</v>
      </c>
      <c r="I60" s="14">
        <f t="shared" si="3"/>
        <v>1.5673334708187256E-2</v>
      </c>
      <c r="J60" s="14">
        <f t="shared" si="4"/>
        <v>0.43899085722142023</v>
      </c>
      <c r="K60" s="17">
        <f t="shared" si="5"/>
        <v>1.2625002890029533E-4</v>
      </c>
      <c r="L60" s="8" t="str" cm="1">
        <f t="array" ref="L60">_xlfn.IFS(I60&gt;5%,"High Risk",AND(I60&gt;2%,I60&lt;5%),"Modrate Risk",I60&lt;2%, "Low Risk")</f>
        <v>Low Risk</v>
      </c>
      <c r="S60"/>
      <c r="T60"/>
    </row>
    <row r="61" spans="1:20" ht="18" customHeight="1" x14ac:dyDescent="0.25">
      <c r="A61" s="9" t="s">
        <v>63</v>
      </c>
      <c r="B61" s="9">
        <v>27</v>
      </c>
      <c r="C61" s="9">
        <v>0</v>
      </c>
      <c r="D61" s="9">
        <v>18</v>
      </c>
      <c r="E61" s="9">
        <v>9</v>
      </c>
      <c r="F61" s="9">
        <v>897095</v>
      </c>
      <c r="G61" s="9" t="s">
        <v>200</v>
      </c>
      <c r="H61" s="10">
        <v>43909</v>
      </c>
      <c r="I61" s="15">
        <f t="shared" si="3"/>
        <v>0</v>
      </c>
      <c r="J61" s="15">
        <f t="shared" si="4"/>
        <v>0.66666666666666663</v>
      </c>
      <c r="K61" s="18">
        <f t="shared" si="5"/>
        <v>3.0097146901944609E-5</v>
      </c>
      <c r="L61" s="9" t="str" cm="1">
        <f t="array" ref="L61">_xlfn.IFS(I61&gt;5%,"High Risk",AND(I61&gt;2%,I61&lt;5%),"Modrate Risk",I61&lt;2%, "Low Risk")</f>
        <v>Low Risk</v>
      </c>
      <c r="S61"/>
      <c r="T61"/>
    </row>
    <row r="62" spans="1:20" ht="18" customHeight="1" x14ac:dyDescent="0.25">
      <c r="A62" s="8" t="s">
        <v>64</v>
      </c>
      <c r="B62" s="8">
        <v>7398</v>
      </c>
      <c r="C62" s="8">
        <v>329</v>
      </c>
      <c r="D62" s="8">
        <v>6920</v>
      </c>
      <c r="E62" s="8">
        <v>149</v>
      </c>
      <c r="F62" s="8">
        <v>5541604</v>
      </c>
      <c r="G62" s="8" t="s">
        <v>196</v>
      </c>
      <c r="H62" s="1">
        <v>43887</v>
      </c>
      <c r="I62" s="14">
        <f t="shared" si="3"/>
        <v>4.4471478778048121E-2</v>
      </c>
      <c r="J62" s="14">
        <f t="shared" si="4"/>
        <v>0.93538794268721281</v>
      </c>
      <c r="K62" s="17">
        <f t="shared" si="5"/>
        <v>1.334992540066017E-3</v>
      </c>
      <c r="L62" s="8" t="str" cm="1">
        <f t="array" ref="L62">_xlfn.IFS(I62&gt;5%,"High Risk",AND(I62&gt;2%,I62&lt;5%),"Modrate Risk",I62&lt;2%, "Low Risk")</f>
        <v>Modrate Risk</v>
      </c>
      <c r="S62"/>
      <c r="T62"/>
    </row>
    <row r="63" spans="1:20" ht="18" customHeight="1" x14ac:dyDescent="0.25">
      <c r="A63" s="9" t="s">
        <v>65</v>
      </c>
      <c r="B63" s="9">
        <v>220352</v>
      </c>
      <c r="C63" s="9">
        <v>30212</v>
      </c>
      <c r="D63" s="9">
        <v>81212</v>
      </c>
      <c r="E63" s="9">
        <v>108928</v>
      </c>
      <c r="F63" s="9">
        <v>65288306</v>
      </c>
      <c r="G63" s="9" t="s">
        <v>196</v>
      </c>
      <c r="H63" s="10">
        <v>43826</v>
      </c>
      <c r="I63" s="15">
        <f t="shared" si="3"/>
        <v>0.13710790008713331</v>
      </c>
      <c r="J63" s="15">
        <f t="shared" si="4"/>
        <v>0.36855576532094103</v>
      </c>
      <c r="K63" s="18">
        <f t="shared" si="5"/>
        <v>3.3750607650932158E-3</v>
      </c>
      <c r="L63" s="9" t="str" cm="1">
        <f t="array" ref="L63">_xlfn.IFS(I63&gt;5%,"High Risk",AND(I63&gt;2%,I63&lt;5%),"Modrate Risk",I63&lt;2%, "Low Risk")</f>
        <v>High Risk</v>
      </c>
      <c r="S63"/>
      <c r="T63"/>
    </row>
    <row r="64" spans="1:20" ht="18" customHeight="1" x14ac:dyDescent="0.25">
      <c r="A64" s="8" t="s">
        <v>66</v>
      </c>
      <c r="B64" s="8">
        <v>7189</v>
      </c>
      <c r="C64" s="8">
        <v>49</v>
      </c>
      <c r="D64" s="8">
        <v>4682</v>
      </c>
      <c r="E64" s="8">
        <v>2458</v>
      </c>
      <c r="F64" s="8">
        <v>2230563</v>
      </c>
      <c r="G64" s="8" t="s">
        <v>197</v>
      </c>
      <c r="H64" s="1">
        <v>43902</v>
      </c>
      <c r="I64" s="14">
        <f t="shared" si="3"/>
        <v>6.815968841285297E-3</v>
      </c>
      <c r="J64" s="14">
        <f t="shared" si="4"/>
        <v>0.65127277785505633</v>
      </c>
      <c r="K64" s="17">
        <f t="shared" si="5"/>
        <v>3.2229531288737417E-3</v>
      </c>
      <c r="L64" s="8" t="str" cm="1">
        <f t="array" ref="L64">_xlfn.IFS(I64&gt;5%,"High Risk",AND(I64&gt;2%,I64&lt;5%),"Modrate Risk",I64&lt;2%, "Low Risk")</f>
        <v>Low Risk</v>
      </c>
      <c r="S64"/>
      <c r="T64"/>
    </row>
    <row r="65" spans="1:20" ht="18" customHeight="1" x14ac:dyDescent="0.25">
      <c r="A65" s="9" t="s">
        <v>67</v>
      </c>
      <c r="B65" s="9">
        <v>326</v>
      </c>
      <c r="C65" s="9">
        <v>8</v>
      </c>
      <c r="D65" s="9">
        <v>66</v>
      </c>
      <c r="E65" s="9">
        <v>252</v>
      </c>
      <c r="F65" s="9">
        <v>2422754</v>
      </c>
      <c r="G65" s="9" t="s">
        <v>197</v>
      </c>
      <c r="H65" s="10">
        <v>43907</v>
      </c>
      <c r="I65" s="15">
        <f t="shared" si="3"/>
        <v>2.4539877300613498E-2</v>
      </c>
      <c r="J65" s="15">
        <f t="shared" si="4"/>
        <v>0.20245398773006135</v>
      </c>
      <c r="K65" s="18">
        <f t="shared" si="5"/>
        <v>1.345576150116768E-4</v>
      </c>
      <c r="L65" s="9" t="str" cm="1">
        <f t="array" ref="L65">_xlfn.IFS(I65&gt;5%,"High Risk",AND(I65&gt;2%,I65&lt;5%),"Modrate Risk",I65&lt;2%, "Low Risk")</f>
        <v>Modrate Risk</v>
      </c>
      <c r="S65"/>
      <c r="T65"/>
    </row>
    <row r="66" spans="1:20" ht="18" customHeight="1" x14ac:dyDescent="0.25">
      <c r="A66" s="8" t="s">
        <v>68</v>
      </c>
      <c r="B66" s="8">
        <v>1137</v>
      </c>
      <c r="C66" s="8">
        <v>16</v>
      </c>
      <c r="D66" s="8">
        <v>922</v>
      </c>
      <c r="E66" s="8">
        <v>199</v>
      </c>
      <c r="F66" s="8">
        <v>3988368</v>
      </c>
      <c r="G66" s="8" t="s">
        <v>195</v>
      </c>
      <c r="H66" s="1">
        <v>43887</v>
      </c>
      <c r="I66" s="14">
        <f t="shared" ref="I66:I97" si="6">C66/B66</f>
        <v>1.4072119613016711E-2</v>
      </c>
      <c r="J66" s="14">
        <f t="shared" ref="J66:J97" si="7">D66/B66</f>
        <v>0.81090589270008795</v>
      </c>
      <c r="K66" s="17">
        <f t="shared" ref="K66:K97" si="8">B66/F66</f>
        <v>2.8507900976038319E-4</v>
      </c>
      <c r="L66" s="8" t="str" cm="1">
        <f t="array" ref="L66">_xlfn.IFS(I66&gt;5%,"High Risk",AND(I66&gt;2%,I66&lt;5%),"Modrate Risk",I66&lt;2%, "Low Risk")</f>
        <v>Low Risk</v>
      </c>
      <c r="S66"/>
      <c r="T66"/>
    </row>
    <row r="67" spans="1:20" ht="18" customHeight="1" x14ac:dyDescent="0.25">
      <c r="A67" s="9" t="s">
        <v>69</v>
      </c>
      <c r="B67" s="9">
        <v>207112</v>
      </c>
      <c r="C67" s="9">
        <v>9125</v>
      </c>
      <c r="D67" s="9">
        <v>190314</v>
      </c>
      <c r="E67" s="9">
        <v>7673</v>
      </c>
      <c r="F67" s="9">
        <v>83811260</v>
      </c>
      <c r="G67" s="9" t="s">
        <v>196</v>
      </c>
      <c r="H67" s="10">
        <v>43857</v>
      </c>
      <c r="I67" s="15">
        <f t="shared" si="6"/>
        <v>4.4058287303487965E-2</v>
      </c>
      <c r="J67" s="15">
        <f t="shared" si="7"/>
        <v>0.91889412491791878</v>
      </c>
      <c r="K67" s="18">
        <f t="shared" si="8"/>
        <v>2.4711715347078664E-3</v>
      </c>
      <c r="L67" s="9" t="str" cm="1">
        <f t="array" ref="L67">_xlfn.IFS(I67&gt;5%,"High Risk",AND(I67&gt;2%,I67&lt;5%),"Modrate Risk",I67&lt;2%, "Low Risk")</f>
        <v>Modrate Risk</v>
      </c>
      <c r="S67"/>
      <c r="T67"/>
    </row>
    <row r="68" spans="1:20" ht="18" customHeight="1" x14ac:dyDescent="0.25">
      <c r="A68" s="8" t="s">
        <v>70</v>
      </c>
      <c r="B68" s="8">
        <v>33624</v>
      </c>
      <c r="C68" s="8">
        <v>168</v>
      </c>
      <c r="D68" s="8">
        <v>29801</v>
      </c>
      <c r="E68" s="8">
        <v>3655</v>
      </c>
      <c r="F68" s="8">
        <v>31133483</v>
      </c>
      <c r="G68" s="8" t="s">
        <v>197</v>
      </c>
      <c r="H68" s="1">
        <v>43902</v>
      </c>
      <c r="I68" s="14">
        <f t="shared" si="6"/>
        <v>4.9964311206281229E-3</v>
      </c>
      <c r="J68" s="14">
        <f t="shared" si="7"/>
        <v>0.88630145134427785</v>
      </c>
      <c r="K68" s="17">
        <f t="shared" si="8"/>
        <v>1.0799948081620036E-3</v>
      </c>
      <c r="L68" s="8" t="str" cm="1">
        <f t="array" ref="L68">_xlfn.IFS(I68&gt;5%,"High Risk",AND(I68&gt;2%,I68&lt;5%),"Modrate Risk",I68&lt;2%, "Low Risk")</f>
        <v>Low Risk</v>
      </c>
      <c r="S68"/>
      <c r="T68"/>
    </row>
    <row r="69" spans="1:20" ht="18" customHeight="1" x14ac:dyDescent="0.25">
      <c r="A69" s="9" t="s">
        <v>71</v>
      </c>
      <c r="B69" s="9">
        <v>4227</v>
      </c>
      <c r="C69" s="9">
        <v>202</v>
      </c>
      <c r="D69" s="9">
        <v>1374</v>
      </c>
      <c r="E69" s="9">
        <v>2651</v>
      </c>
      <c r="F69" s="9">
        <v>10417673</v>
      </c>
      <c r="G69" s="9" t="s">
        <v>196</v>
      </c>
      <c r="H69" s="10">
        <v>43887</v>
      </c>
      <c r="I69" s="15">
        <f t="shared" si="6"/>
        <v>4.7788029335225926E-2</v>
      </c>
      <c r="J69" s="15">
        <f t="shared" si="7"/>
        <v>0.32505322924059615</v>
      </c>
      <c r="K69" s="18">
        <f t="shared" si="8"/>
        <v>4.0575280103339776E-4</v>
      </c>
      <c r="L69" s="9" t="str" cm="1">
        <f t="array" ref="L69">_xlfn.IFS(I69&gt;5%,"High Risk",AND(I69&gt;2%,I69&lt;5%),"Modrate Risk",I69&lt;2%, "Low Risk")</f>
        <v>Modrate Risk</v>
      </c>
      <c r="S69"/>
      <c r="T69"/>
    </row>
    <row r="70" spans="1:20" ht="18" customHeight="1" x14ac:dyDescent="0.25">
      <c r="A70" s="8" t="s">
        <v>72</v>
      </c>
      <c r="B70" s="8">
        <v>14</v>
      </c>
      <c r="C70" s="8">
        <v>0</v>
      </c>
      <c r="D70" s="8">
        <v>13</v>
      </c>
      <c r="E70" s="8">
        <v>1</v>
      </c>
      <c r="F70" s="8">
        <v>56780</v>
      </c>
      <c r="G70" s="8" t="s">
        <v>198</v>
      </c>
      <c r="H70" s="1">
        <v>43898</v>
      </c>
      <c r="I70" s="14">
        <f t="shared" si="6"/>
        <v>0</v>
      </c>
      <c r="J70" s="14">
        <f t="shared" si="7"/>
        <v>0.9285714285714286</v>
      </c>
      <c r="K70" s="17">
        <f t="shared" si="8"/>
        <v>2.4656569214512151E-4</v>
      </c>
      <c r="L70" s="8" t="str" cm="1">
        <f t="array" ref="L70">_xlfn.IFS(I70&gt;5%,"High Risk",AND(I70&gt;2%,I70&lt;5%),"Modrate Risk",I70&lt;2%, "Low Risk")</f>
        <v>Low Risk</v>
      </c>
      <c r="S70"/>
      <c r="T70"/>
    </row>
    <row r="71" spans="1:20" ht="18" customHeight="1" x14ac:dyDescent="0.25">
      <c r="A71" s="9" t="s">
        <v>73</v>
      </c>
      <c r="B71" s="9">
        <v>23</v>
      </c>
      <c r="C71" s="9">
        <v>0</v>
      </c>
      <c r="D71" s="9">
        <v>23</v>
      </c>
      <c r="E71" s="9">
        <v>0</v>
      </c>
      <c r="F71" s="9">
        <v>112576</v>
      </c>
      <c r="G71" s="9" t="s">
        <v>198</v>
      </c>
      <c r="H71" s="10">
        <v>43912</v>
      </c>
      <c r="I71" s="15">
        <f t="shared" si="6"/>
        <v>0</v>
      </c>
      <c r="J71" s="15">
        <f t="shared" si="7"/>
        <v>1</v>
      </c>
      <c r="K71" s="18">
        <f t="shared" si="8"/>
        <v>2.0430642410460489E-4</v>
      </c>
      <c r="L71" s="9" t="str" cm="1">
        <f t="array" ref="L71">_xlfn.IFS(I71&gt;5%,"High Risk",AND(I71&gt;2%,I71&lt;5%),"Modrate Risk",I71&lt;2%, "Low Risk")</f>
        <v>Low Risk</v>
      </c>
      <c r="S71"/>
      <c r="T71"/>
    </row>
    <row r="72" spans="1:20" ht="18" customHeight="1" x14ac:dyDescent="0.25">
      <c r="A72" s="8" t="s">
        <v>74</v>
      </c>
      <c r="B72" s="8">
        <v>45309</v>
      </c>
      <c r="C72" s="8">
        <v>1761</v>
      </c>
      <c r="D72" s="8">
        <v>32455</v>
      </c>
      <c r="E72" s="8">
        <v>11093</v>
      </c>
      <c r="F72" s="8">
        <v>17946899</v>
      </c>
      <c r="G72" s="8" t="s">
        <v>198</v>
      </c>
      <c r="H72" s="1">
        <v>43903</v>
      </c>
      <c r="I72" s="14">
        <f t="shared" si="6"/>
        <v>3.8866450374097861E-2</v>
      </c>
      <c r="J72" s="14">
        <f t="shared" si="7"/>
        <v>0.71630360414045779</v>
      </c>
      <c r="K72" s="17">
        <f t="shared" si="8"/>
        <v>2.5246144194604318E-3</v>
      </c>
      <c r="L72" s="8" t="str" cm="1">
        <f t="array" ref="L72">_xlfn.IFS(I72&gt;5%,"High Risk",AND(I72&gt;2%,I72&lt;5%),"Modrate Risk",I72&lt;2%, "Low Risk")</f>
        <v>Modrate Risk</v>
      </c>
      <c r="S72"/>
      <c r="T72"/>
    </row>
    <row r="73" spans="1:20" ht="18" customHeight="1" x14ac:dyDescent="0.25">
      <c r="A73" s="9" t="s">
        <v>75</v>
      </c>
      <c r="B73" s="9">
        <v>7055</v>
      </c>
      <c r="C73" s="9">
        <v>45</v>
      </c>
      <c r="D73" s="9">
        <v>6257</v>
      </c>
      <c r="E73" s="9">
        <v>753</v>
      </c>
      <c r="F73" s="9">
        <v>13164905</v>
      </c>
      <c r="G73" s="9" t="s">
        <v>197</v>
      </c>
      <c r="H73" s="10">
        <v>43903</v>
      </c>
      <c r="I73" s="15">
        <f t="shared" si="6"/>
        <v>6.3784549964564135E-3</v>
      </c>
      <c r="J73" s="15">
        <f t="shared" si="7"/>
        <v>0.88688873139617297</v>
      </c>
      <c r="K73" s="18">
        <f t="shared" si="8"/>
        <v>5.3589448613567661E-4</v>
      </c>
      <c r="L73" s="9" t="str" cm="1">
        <f t="array" ref="L73">_xlfn.IFS(I73&gt;5%,"High Risk",AND(I73&gt;2%,I73&lt;5%),"Modrate Risk",I73&lt;2%, "Low Risk")</f>
        <v>Low Risk</v>
      </c>
      <c r="S73"/>
      <c r="T73"/>
    </row>
    <row r="74" spans="1:20" ht="18" customHeight="1" x14ac:dyDescent="0.25">
      <c r="A74" s="8" t="s">
        <v>76</v>
      </c>
      <c r="B74" s="8">
        <v>1954</v>
      </c>
      <c r="C74" s="8">
        <v>26</v>
      </c>
      <c r="D74" s="8">
        <v>803</v>
      </c>
      <c r="E74" s="8">
        <v>1125</v>
      </c>
      <c r="F74" s="8">
        <v>1972277</v>
      </c>
      <c r="G74" s="8" t="s">
        <v>197</v>
      </c>
      <c r="H74" s="1">
        <v>43915</v>
      </c>
      <c r="I74" s="14">
        <f t="shared" si="6"/>
        <v>1.3306038894575231E-2</v>
      </c>
      <c r="J74" s="14">
        <f t="shared" si="7"/>
        <v>0.41095189355168882</v>
      </c>
      <c r="K74" s="17">
        <f t="shared" si="8"/>
        <v>9.907330461187754E-4</v>
      </c>
      <c r="L74" s="8" t="str" cm="1">
        <f t="array" ref="L74">_xlfn.IFS(I74&gt;5%,"High Risk",AND(I74&gt;2%,I74&lt;5%),"Modrate Risk",I74&lt;2%, "Low Risk")</f>
        <v>Low Risk</v>
      </c>
      <c r="S74"/>
      <c r="T74"/>
    </row>
    <row r="75" spans="1:20" ht="18" customHeight="1" x14ac:dyDescent="0.25">
      <c r="A75" s="9" t="s">
        <v>77</v>
      </c>
      <c r="B75" s="9">
        <v>389</v>
      </c>
      <c r="C75" s="9">
        <v>20</v>
      </c>
      <c r="D75" s="9">
        <v>181</v>
      </c>
      <c r="E75" s="9">
        <v>188</v>
      </c>
      <c r="F75" s="9">
        <v>786936</v>
      </c>
      <c r="G75" s="9" t="s">
        <v>199</v>
      </c>
      <c r="H75" s="10">
        <v>43902</v>
      </c>
      <c r="I75" s="15">
        <f t="shared" si="6"/>
        <v>5.1413881748071981E-2</v>
      </c>
      <c r="J75" s="15">
        <f t="shared" si="7"/>
        <v>0.4652956298200514</v>
      </c>
      <c r="K75" s="18">
        <f t="shared" si="8"/>
        <v>4.943222828794209E-4</v>
      </c>
      <c r="L75" s="9" t="str" cm="1">
        <f t="array" ref="L75">_xlfn.IFS(I75&gt;5%,"High Risk",AND(I75&gt;2%,I75&lt;5%),"Modrate Risk",I75&lt;2%, "Low Risk")</f>
        <v>High Risk</v>
      </c>
      <c r="S75"/>
      <c r="T75"/>
    </row>
    <row r="76" spans="1:20" ht="18" customHeight="1" x14ac:dyDescent="0.25">
      <c r="A76" s="8" t="s">
        <v>78</v>
      </c>
      <c r="B76" s="8">
        <v>7340</v>
      </c>
      <c r="C76" s="8">
        <v>158</v>
      </c>
      <c r="D76" s="8">
        <v>4365</v>
      </c>
      <c r="E76" s="8">
        <v>2817</v>
      </c>
      <c r="F76" s="8">
        <v>11416103</v>
      </c>
      <c r="G76" s="8" t="s">
        <v>198</v>
      </c>
      <c r="H76" s="1">
        <v>43909</v>
      </c>
      <c r="I76" s="14">
        <f t="shared" si="6"/>
        <v>2.1525885558583105E-2</v>
      </c>
      <c r="J76" s="14">
        <f t="shared" si="7"/>
        <v>0.59468664850136244</v>
      </c>
      <c r="K76" s="17">
        <f t="shared" si="8"/>
        <v>6.4295145199723587E-4</v>
      </c>
      <c r="L76" s="8" t="str" cm="1">
        <f t="array" ref="L76">_xlfn.IFS(I76&gt;5%,"High Risk",AND(I76&gt;2%,I76&lt;5%),"Modrate Risk",I76&lt;2%, "Low Risk")</f>
        <v>Modrate Risk</v>
      </c>
      <c r="S76"/>
      <c r="T76"/>
    </row>
    <row r="77" spans="1:20" ht="18" customHeight="1" x14ac:dyDescent="0.25">
      <c r="A77" s="9" t="s">
        <v>79</v>
      </c>
      <c r="B77" s="9">
        <v>12</v>
      </c>
      <c r="C77" s="9">
        <v>0</v>
      </c>
      <c r="D77" s="9">
        <v>12</v>
      </c>
      <c r="E77" s="9">
        <v>0</v>
      </c>
      <c r="F77" s="12">
        <v>528</v>
      </c>
      <c r="G77" s="9" t="s">
        <v>196</v>
      </c>
      <c r="H77" s="10">
        <v>43912</v>
      </c>
      <c r="I77" s="15">
        <f t="shared" si="6"/>
        <v>0</v>
      </c>
      <c r="J77" s="15">
        <f t="shared" si="7"/>
        <v>1</v>
      </c>
      <c r="K77" s="18">
        <f t="shared" si="8"/>
        <v>2.2727272727272728E-2</v>
      </c>
      <c r="L77" s="9" t="str" cm="1">
        <f t="array" ref="L77">_xlfn.IFS(I77&gt;5%,"High Risk",AND(I77&gt;2%,I77&lt;5%),"Modrate Risk",I77&lt;2%, "Low Risk")</f>
        <v>Low Risk</v>
      </c>
      <c r="S77"/>
      <c r="T77"/>
    </row>
    <row r="78" spans="1:20" ht="18" customHeight="1" x14ac:dyDescent="0.25">
      <c r="A78" s="8" t="s">
        <v>80</v>
      </c>
      <c r="B78" s="8">
        <v>39741</v>
      </c>
      <c r="C78" s="8">
        <v>1166</v>
      </c>
      <c r="D78" s="8">
        <v>5039</v>
      </c>
      <c r="E78" s="8">
        <v>33536</v>
      </c>
      <c r="F78" s="11">
        <v>10012084</v>
      </c>
      <c r="G78" s="8" t="s">
        <v>198</v>
      </c>
      <c r="H78" s="1">
        <v>43907</v>
      </c>
      <c r="I78" s="14">
        <f t="shared" si="6"/>
        <v>2.9339976346845827E-2</v>
      </c>
      <c r="J78" s="14">
        <f t="shared" si="7"/>
        <v>0.12679600412672051</v>
      </c>
      <c r="K78" s="17">
        <f t="shared" si="8"/>
        <v>3.9693034936582631E-3</v>
      </c>
      <c r="L78" s="8" t="str" cm="1">
        <f t="array" ref="L78">_xlfn.IFS(I78&gt;5%,"High Risk",AND(I78&gt;2%,I78&lt;5%),"Modrate Risk",I78&lt;2%, "Low Risk")</f>
        <v>Modrate Risk</v>
      </c>
      <c r="S78"/>
      <c r="T78"/>
    </row>
    <row r="79" spans="1:20" ht="18" customHeight="1" x14ac:dyDescent="0.25">
      <c r="A79" s="9" t="s">
        <v>81</v>
      </c>
      <c r="B79" s="9">
        <v>4448</v>
      </c>
      <c r="C79" s="9">
        <v>596</v>
      </c>
      <c r="D79" s="9">
        <v>3329</v>
      </c>
      <c r="E79" s="9">
        <v>523</v>
      </c>
      <c r="F79" s="9">
        <v>9657785</v>
      </c>
      <c r="G79" s="9" t="s">
        <v>196</v>
      </c>
      <c r="H79" s="10">
        <v>43894</v>
      </c>
      <c r="I79" s="15">
        <f t="shared" si="6"/>
        <v>0.13399280575539568</v>
      </c>
      <c r="J79" s="15">
        <f t="shared" si="7"/>
        <v>0.74842625899280579</v>
      </c>
      <c r="K79" s="18">
        <f t="shared" si="8"/>
        <v>4.6056109138896753E-4</v>
      </c>
      <c r="L79" s="9" t="str" cm="1">
        <f t="array" ref="L79">_xlfn.IFS(I79&gt;5%,"High Risk",AND(I79&gt;2%,I79&lt;5%),"Modrate Risk",I79&lt;2%, "Low Risk")</f>
        <v>High Risk</v>
      </c>
      <c r="S79"/>
      <c r="T79"/>
    </row>
    <row r="80" spans="1:20" ht="18" customHeight="1" x14ac:dyDescent="0.25">
      <c r="A80" s="8" t="s">
        <v>82</v>
      </c>
      <c r="B80" s="8">
        <v>1854</v>
      </c>
      <c r="C80" s="8">
        <v>10</v>
      </c>
      <c r="D80" s="8">
        <v>1823</v>
      </c>
      <c r="E80" s="8">
        <v>21</v>
      </c>
      <c r="F80" s="8">
        <v>341465</v>
      </c>
      <c r="G80" s="8" t="s">
        <v>196</v>
      </c>
      <c r="H80" s="1">
        <v>43889</v>
      </c>
      <c r="I80" s="14">
        <f t="shared" si="6"/>
        <v>5.3937432578209281E-3</v>
      </c>
      <c r="J80" s="14">
        <f t="shared" si="7"/>
        <v>0.98327939590075508</v>
      </c>
      <c r="K80" s="17">
        <f t="shared" si="8"/>
        <v>5.4295462199639788E-3</v>
      </c>
      <c r="L80" s="8" t="str" cm="1">
        <f t="array" ref="L80">_xlfn.IFS(I80&gt;5%,"High Risk",AND(I80&gt;2%,I80&lt;5%),"Modrate Risk",I80&lt;2%, "Low Risk")</f>
        <v>Low Risk</v>
      </c>
      <c r="S80"/>
      <c r="T80"/>
    </row>
    <row r="81" spans="1:20" ht="18" customHeight="1" x14ac:dyDescent="0.25">
      <c r="A81" s="9" t="s">
        <v>83</v>
      </c>
      <c r="B81" s="9">
        <v>1480073</v>
      </c>
      <c r="C81" s="9">
        <v>33408</v>
      </c>
      <c r="D81" s="9">
        <v>951166</v>
      </c>
      <c r="E81" s="9">
        <v>495499</v>
      </c>
      <c r="F81" s="9">
        <v>1381344997</v>
      </c>
      <c r="G81" s="9" t="s">
        <v>195</v>
      </c>
      <c r="H81" s="10">
        <v>43860</v>
      </c>
      <c r="I81" s="15">
        <f t="shared" si="6"/>
        <v>2.2571859631247918E-2</v>
      </c>
      <c r="J81" s="15">
        <f t="shared" si="7"/>
        <v>0.64264803154979522</v>
      </c>
      <c r="K81" s="18">
        <f t="shared" si="8"/>
        <v>1.0714723716482247E-3</v>
      </c>
      <c r="L81" s="9" t="str" cm="1">
        <f t="array" ref="L81">_xlfn.IFS(I81&gt;5%,"High Risk",AND(I81&gt;2%,I81&lt;5%),"Modrate Risk",I81&lt;2%, "Low Risk")</f>
        <v>Modrate Risk</v>
      </c>
      <c r="S81"/>
      <c r="T81"/>
    </row>
    <row r="82" spans="1:20" ht="18" customHeight="1" x14ac:dyDescent="0.25">
      <c r="A82" s="8" t="s">
        <v>84</v>
      </c>
      <c r="B82" s="8">
        <v>100303</v>
      </c>
      <c r="C82" s="8">
        <v>4838</v>
      </c>
      <c r="D82" s="8">
        <v>58173</v>
      </c>
      <c r="E82" s="8">
        <v>37292</v>
      </c>
      <c r="F82" s="8">
        <v>273808365</v>
      </c>
      <c r="G82" s="8" t="s">
        <v>195</v>
      </c>
      <c r="H82" s="1">
        <v>43892</v>
      </c>
      <c r="I82" s="14">
        <f t="shared" si="6"/>
        <v>4.8233851430166598E-2</v>
      </c>
      <c r="J82" s="14">
        <f t="shared" si="7"/>
        <v>0.57997268277120329</v>
      </c>
      <c r="K82" s="17">
        <f t="shared" si="8"/>
        <v>3.6632555035343787E-4</v>
      </c>
      <c r="L82" s="8" t="str" cm="1">
        <f t="array" ref="L82">_xlfn.IFS(I82&gt;5%,"High Risk",AND(I82&gt;2%,I82&lt;5%),"Modrate Risk",I82&lt;2%, "Low Risk")</f>
        <v>Modrate Risk</v>
      </c>
      <c r="S82"/>
      <c r="T82"/>
    </row>
    <row r="83" spans="1:20" ht="18" customHeight="1" x14ac:dyDescent="0.25">
      <c r="A83" s="9" t="s">
        <v>85</v>
      </c>
      <c r="B83" s="9">
        <v>293606</v>
      </c>
      <c r="C83" s="9">
        <v>15912</v>
      </c>
      <c r="D83" s="9">
        <v>255144</v>
      </c>
      <c r="E83" s="9">
        <v>22550</v>
      </c>
      <c r="F83" s="9">
        <v>84097623</v>
      </c>
      <c r="G83" s="9" t="s">
        <v>195</v>
      </c>
      <c r="H83" s="10">
        <v>43880</v>
      </c>
      <c r="I83" s="15">
        <f t="shared" si="6"/>
        <v>5.4195077757266542E-2</v>
      </c>
      <c r="J83" s="15">
        <f t="shared" si="7"/>
        <v>0.86900131468702957</v>
      </c>
      <c r="K83" s="18">
        <f t="shared" si="8"/>
        <v>3.4912520654715772E-3</v>
      </c>
      <c r="L83" s="9" t="str" cm="1">
        <f t="array" ref="L83">_xlfn.IFS(I83&gt;5%,"High Risk",AND(I83&gt;2%,I83&lt;5%),"Modrate Risk",I83&lt;2%, "Low Risk")</f>
        <v>High Risk</v>
      </c>
      <c r="S83"/>
      <c r="T83"/>
    </row>
    <row r="84" spans="1:20" ht="18" customHeight="1" x14ac:dyDescent="0.25">
      <c r="A84" s="8" t="s">
        <v>86</v>
      </c>
      <c r="B84" s="8">
        <v>112585</v>
      </c>
      <c r="C84" s="8">
        <v>4458</v>
      </c>
      <c r="D84" s="8">
        <v>77144</v>
      </c>
      <c r="E84" s="8">
        <v>30983</v>
      </c>
      <c r="F84" s="8">
        <v>40306025</v>
      </c>
      <c r="G84" s="8" t="s">
        <v>195</v>
      </c>
      <c r="H84" s="1">
        <v>43883</v>
      </c>
      <c r="I84" s="14">
        <f t="shared" si="6"/>
        <v>3.9596749122884932E-2</v>
      </c>
      <c r="J84" s="14">
        <f t="shared" si="7"/>
        <v>0.68520673269085575</v>
      </c>
      <c r="K84" s="17">
        <f t="shared" si="8"/>
        <v>2.7932548545781927E-3</v>
      </c>
      <c r="L84" s="8" t="str" cm="1">
        <f t="array" ref="L84">_xlfn.IFS(I84&gt;5%,"High Risk",AND(I84&gt;2%,I84&lt;5%),"Modrate Risk",I84&lt;2%, "Low Risk")</f>
        <v>Modrate Risk</v>
      </c>
      <c r="S84"/>
      <c r="T84"/>
    </row>
    <row r="85" spans="1:20" ht="18" customHeight="1" x14ac:dyDescent="0.25">
      <c r="A85" s="9" t="s">
        <v>87</v>
      </c>
      <c r="B85" s="9">
        <v>25892</v>
      </c>
      <c r="C85" s="9">
        <v>1764</v>
      </c>
      <c r="D85" s="9">
        <v>23364</v>
      </c>
      <c r="E85" s="9">
        <v>764</v>
      </c>
      <c r="F85" s="9">
        <v>4943200</v>
      </c>
      <c r="G85" s="9" t="s">
        <v>196</v>
      </c>
      <c r="H85" s="10">
        <v>43890</v>
      </c>
      <c r="I85" s="15">
        <f t="shared" si="6"/>
        <v>6.8129151861578863E-2</v>
      </c>
      <c r="J85" s="15">
        <f t="shared" si="7"/>
        <v>0.90236366445234051</v>
      </c>
      <c r="K85" s="18">
        <f t="shared" si="8"/>
        <v>5.2379025732319142E-3</v>
      </c>
      <c r="L85" s="9" t="str" cm="1">
        <f t="array" ref="L85">_xlfn.IFS(I85&gt;5%,"High Risk",AND(I85&gt;2%,I85&lt;5%),"Modrate Risk",I85&lt;2%, "Low Risk")</f>
        <v>High Risk</v>
      </c>
      <c r="S85"/>
      <c r="T85"/>
    </row>
    <row r="86" spans="1:20" ht="18" customHeight="1" x14ac:dyDescent="0.25">
      <c r="A86" s="8" t="s">
        <v>88</v>
      </c>
      <c r="B86" s="8">
        <v>63985</v>
      </c>
      <c r="C86" s="8">
        <v>474</v>
      </c>
      <c r="D86" s="8">
        <v>27133</v>
      </c>
      <c r="E86" s="8">
        <v>36378</v>
      </c>
      <c r="F86" s="8">
        <v>9197590</v>
      </c>
      <c r="G86" s="8" t="s">
        <v>195</v>
      </c>
      <c r="H86" s="1">
        <v>43882</v>
      </c>
      <c r="I86" s="14">
        <f t="shared" si="6"/>
        <v>7.407986246776588E-3</v>
      </c>
      <c r="J86" s="14">
        <f t="shared" si="7"/>
        <v>0.42405251230757207</v>
      </c>
      <c r="K86" s="17">
        <f t="shared" si="8"/>
        <v>6.9567136608611607E-3</v>
      </c>
      <c r="L86" s="8" t="str" cm="1">
        <f t="array" ref="L86">_xlfn.IFS(I86&gt;5%,"High Risk",AND(I86&gt;2%,I86&lt;5%),"Modrate Risk",I86&lt;2%, "Low Risk")</f>
        <v>Low Risk</v>
      </c>
      <c r="S86"/>
      <c r="T86"/>
    </row>
    <row r="87" spans="1:20" ht="18" customHeight="1" x14ac:dyDescent="0.25">
      <c r="A87" s="9" t="s">
        <v>89</v>
      </c>
      <c r="B87" s="9">
        <v>246286</v>
      </c>
      <c r="C87" s="9">
        <v>35112</v>
      </c>
      <c r="D87" s="9">
        <v>198593</v>
      </c>
      <c r="E87" s="9">
        <v>12581</v>
      </c>
      <c r="F87" s="9">
        <v>60452568</v>
      </c>
      <c r="G87" s="9" t="s">
        <v>196</v>
      </c>
      <c r="H87" s="10">
        <v>43861</v>
      </c>
      <c r="I87" s="15">
        <f t="shared" si="6"/>
        <v>0.14256595990027854</v>
      </c>
      <c r="J87" s="15">
        <f t="shared" si="7"/>
        <v>0.80635115272488078</v>
      </c>
      <c r="K87" s="18">
        <f t="shared" si="8"/>
        <v>4.0740370202304726E-3</v>
      </c>
      <c r="L87" s="9" t="str" cm="1">
        <f t="array" ref="L87">_xlfn.IFS(I87&gt;5%,"High Risk",AND(I87&gt;2%,I87&lt;5%),"Modrate Risk",I87&lt;2%, "Low Risk")</f>
        <v>High Risk</v>
      </c>
      <c r="S87"/>
      <c r="T87"/>
    </row>
    <row r="88" spans="1:20" ht="18" customHeight="1" x14ac:dyDescent="0.25">
      <c r="A88" s="8" t="s">
        <v>90</v>
      </c>
      <c r="B88" s="8">
        <v>853</v>
      </c>
      <c r="C88" s="8">
        <v>10</v>
      </c>
      <c r="D88" s="8">
        <v>714</v>
      </c>
      <c r="E88" s="8">
        <v>129</v>
      </c>
      <c r="F88" s="8">
        <v>2962478</v>
      </c>
      <c r="G88" s="8" t="s">
        <v>198</v>
      </c>
      <c r="H88" s="1">
        <v>43900</v>
      </c>
      <c r="I88" s="14">
        <f t="shared" si="6"/>
        <v>1.1723329425556858E-2</v>
      </c>
      <c r="J88" s="14">
        <f t="shared" si="7"/>
        <v>0.83704572098475971</v>
      </c>
      <c r="K88" s="17">
        <f t="shared" si="8"/>
        <v>2.8793462770018881E-4</v>
      </c>
      <c r="L88" s="8" t="str" cm="1">
        <f t="array" ref="L88">_xlfn.IFS(I88&gt;5%,"High Risk",AND(I88&gt;2%,I88&lt;5%),"Modrate Risk",I88&lt;2%, "Low Risk")</f>
        <v>Low Risk</v>
      </c>
      <c r="S88"/>
      <c r="T88"/>
    </row>
    <row r="89" spans="1:20" ht="18" customHeight="1" x14ac:dyDescent="0.25">
      <c r="A89" s="9" t="s">
        <v>91</v>
      </c>
      <c r="B89" s="9">
        <v>31142</v>
      </c>
      <c r="C89" s="9">
        <v>998</v>
      </c>
      <c r="D89" s="9">
        <v>21970</v>
      </c>
      <c r="E89" s="9">
        <v>8174</v>
      </c>
      <c r="F89" s="9">
        <v>126435859</v>
      </c>
      <c r="G89" s="9" t="s">
        <v>195</v>
      </c>
      <c r="H89" s="10">
        <v>43846</v>
      </c>
      <c r="I89" s="15">
        <f t="shared" si="6"/>
        <v>3.2046753580373774E-2</v>
      </c>
      <c r="J89" s="15">
        <f t="shared" si="7"/>
        <v>0.70547813242566304</v>
      </c>
      <c r="K89" s="18">
        <f t="shared" si="8"/>
        <v>2.4630670639094564E-4</v>
      </c>
      <c r="L89" s="9" t="str" cm="1">
        <f t="array" ref="L89">_xlfn.IFS(I89&gt;5%,"High Risk",AND(I89&gt;2%,I89&lt;5%),"Modrate Risk",I89&lt;2%, "Low Risk")</f>
        <v>Modrate Risk</v>
      </c>
      <c r="S89"/>
      <c r="T89"/>
    </row>
    <row r="90" spans="1:20" ht="18" customHeight="1" x14ac:dyDescent="0.25">
      <c r="A90" s="8" t="s">
        <v>92</v>
      </c>
      <c r="B90" s="8">
        <v>1176</v>
      </c>
      <c r="C90" s="8">
        <v>11</v>
      </c>
      <c r="D90" s="8">
        <v>1041</v>
      </c>
      <c r="E90" s="8">
        <v>124</v>
      </c>
      <c r="F90" s="8">
        <v>10213138</v>
      </c>
      <c r="G90" s="8" t="s">
        <v>195</v>
      </c>
      <c r="H90" s="1">
        <v>43892</v>
      </c>
      <c r="I90" s="14">
        <f t="shared" si="6"/>
        <v>9.3537414965986394E-3</v>
      </c>
      <c r="J90" s="14">
        <f t="shared" si="7"/>
        <v>0.88520408163265307</v>
      </c>
      <c r="K90" s="17">
        <f t="shared" si="8"/>
        <v>1.1514580533426651E-4</v>
      </c>
      <c r="L90" s="8" t="str" cm="1">
        <f t="array" ref="L90">_xlfn.IFS(I90&gt;5%,"High Risk",AND(I90&gt;2%,I90&lt;5%),"Modrate Risk",I90&lt;2%, "Low Risk")</f>
        <v>Low Risk</v>
      </c>
      <c r="S90"/>
      <c r="T90"/>
    </row>
    <row r="91" spans="1:20" ht="18" customHeight="1" x14ac:dyDescent="0.25">
      <c r="A91" s="9" t="s">
        <v>93</v>
      </c>
      <c r="B91" s="9">
        <v>84648</v>
      </c>
      <c r="C91" s="9">
        <v>585</v>
      </c>
      <c r="D91" s="9">
        <v>54404</v>
      </c>
      <c r="E91" s="9">
        <v>29659</v>
      </c>
      <c r="F91" s="9">
        <v>18798667</v>
      </c>
      <c r="G91" s="9" t="s">
        <v>195</v>
      </c>
      <c r="H91" s="10">
        <v>43903</v>
      </c>
      <c r="I91" s="15">
        <f t="shared" si="6"/>
        <v>6.9109724978735467E-3</v>
      </c>
      <c r="J91" s="15">
        <f t="shared" si="7"/>
        <v>0.64270862867403833</v>
      </c>
      <c r="K91" s="18">
        <f t="shared" si="8"/>
        <v>4.5028724643082409E-3</v>
      </c>
      <c r="L91" s="9" t="str" cm="1">
        <f t="array" ref="L91">_xlfn.IFS(I91&gt;5%,"High Risk",AND(I91&gt;2%,I91&lt;5%),"Modrate Risk",I91&lt;2%, "Low Risk")</f>
        <v>Low Risk</v>
      </c>
      <c r="S91"/>
      <c r="T91"/>
    </row>
    <row r="92" spans="1:20" ht="18" customHeight="1" x14ac:dyDescent="0.25">
      <c r="A92" s="8" t="s">
        <v>94</v>
      </c>
      <c r="B92" s="8">
        <v>17975</v>
      </c>
      <c r="C92" s="8">
        <v>285</v>
      </c>
      <c r="D92" s="8">
        <v>7833</v>
      </c>
      <c r="E92" s="8">
        <v>9857</v>
      </c>
      <c r="F92" s="8">
        <v>53881160</v>
      </c>
      <c r="G92" s="8" t="s">
        <v>197</v>
      </c>
      <c r="H92" s="1">
        <v>43903</v>
      </c>
      <c r="I92" s="14">
        <f t="shared" si="6"/>
        <v>1.5855354659248956E-2</v>
      </c>
      <c r="J92" s="14">
        <f t="shared" si="7"/>
        <v>0.4357719054242003</v>
      </c>
      <c r="K92" s="17">
        <f t="shared" si="8"/>
        <v>3.3360454748932648E-4</v>
      </c>
      <c r="L92" s="8" t="str" cm="1">
        <f t="array" ref="L92">_xlfn.IFS(I92&gt;5%,"High Risk",AND(I92&gt;2%,I92&lt;5%),"Modrate Risk",I92&lt;2%, "Low Risk")</f>
        <v>Low Risk</v>
      </c>
      <c r="S92"/>
      <c r="T92"/>
    </row>
    <row r="93" spans="1:20" ht="18" customHeight="1" x14ac:dyDescent="0.25">
      <c r="A93" s="9" t="s">
        <v>95</v>
      </c>
      <c r="B93" s="9">
        <v>7413</v>
      </c>
      <c r="C93" s="9">
        <v>185</v>
      </c>
      <c r="D93" s="9">
        <v>4027</v>
      </c>
      <c r="E93" s="9">
        <v>3201</v>
      </c>
      <c r="F93" s="13">
        <v>1790152</v>
      </c>
      <c r="G93" s="9" t="s">
        <v>196</v>
      </c>
      <c r="H93" s="10">
        <v>43903</v>
      </c>
      <c r="I93" s="15">
        <f t="shared" si="6"/>
        <v>2.4956158100634021E-2</v>
      </c>
      <c r="J93" s="15">
        <f t="shared" si="7"/>
        <v>0.54323485768244972</v>
      </c>
      <c r="K93" s="18">
        <f t="shared" si="8"/>
        <v>4.1409891450558392E-3</v>
      </c>
      <c r="L93" s="9" t="str" cm="1">
        <f t="array" ref="L93">_xlfn.IFS(I93&gt;5%,"High Risk",AND(I93&gt;2%,I93&lt;5%),"Modrate Risk",I93&lt;2%, "Low Risk")</f>
        <v>Modrate Risk</v>
      </c>
      <c r="S93"/>
      <c r="T93"/>
    </row>
    <row r="94" spans="1:20" ht="18" customHeight="1" x14ac:dyDescent="0.25">
      <c r="A94" s="8" t="s">
        <v>96</v>
      </c>
      <c r="B94" s="8">
        <v>64379</v>
      </c>
      <c r="C94" s="8">
        <v>438</v>
      </c>
      <c r="D94" s="8">
        <v>55057</v>
      </c>
      <c r="E94" s="8">
        <v>8884</v>
      </c>
      <c r="F94" s="8">
        <v>4276658</v>
      </c>
      <c r="G94" s="8" t="s">
        <v>195</v>
      </c>
      <c r="H94" s="1">
        <v>43885</v>
      </c>
      <c r="I94" s="14">
        <f t="shared" si="6"/>
        <v>6.8034607558365304E-3</v>
      </c>
      <c r="J94" s="14">
        <f t="shared" si="7"/>
        <v>0.85520123021482164</v>
      </c>
      <c r="K94" s="17">
        <f t="shared" si="8"/>
        <v>1.5053576881761413E-2</v>
      </c>
      <c r="L94" s="8" t="str" cm="1">
        <f t="array" ref="L94">_xlfn.IFS(I94&gt;5%,"High Risk",AND(I94&gt;2%,I94&lt;5%),"Modrate Risk",I94&lt;2%, "Low Risk")</f>
        <v>Low Risk</v>
      </c>
      <c r="S94"/>
      <c r="T94"/>
    </row>
    <row r="95" spans="1:20" ht="18" customHeight="1" x14ac:dyDescent="0.25">
      <c r="A95" s="9" t="s">
        <v>97</v>
      </c>
      <c r="B95" s="9">
        <v>33296</v>
      </c>
      <c r="C95" s="9">
        <v>1301</v>
      </c>
      <c r="D95" s="9">
        <v>21205</v>
      </c>
      <c r="E95" s="9">
        <v>10790</v>
      </c>
      <c r="F95" s="9">
        <v>6534479</v>
      </c>
      <c r="G95" s="9" t="s">
        <v>195</v>
      </c>
      <c r="H95" s="10">
        <v>43908</v>
      </c>
      <c r="I95" s="15">
        <f t="shared" si="6"/>
        <v>3.9073762614127823E-2</v>
      </c>
      <c r="J95" s="15">
        <f t="shared" si="7"/>
        <v>0.63686328688130711</v>
      </c>
      <c r="K95" s="18">
        <f t="shared" si="8"/>
        <v>5.0954330100379842E-3</v>
      </c>
      <c r="L95" s="9" t="str" cm="1">
        <f t="array" ref="L95">_xlfn.IFS(I95&gt;5%,"High Risk",AND(I95&gt;2%,I95&lt;5%),"Modrate Risk",I95&lt;2%, "Low Risk")</f>
        <v>Modrate Risk</v>
      </c>
      <c r="S95"/>
      <c r="T95"/>
    </row>
    <row r="96" spans="1:20" ht="18" customHeight="1" x14ac:dyDescent="0.25">
      <c r="A96" s="8" t="s">
        <v>98</v>
      </c>
      <c r="B96" s="8">
        <v>20</v>
      </c>
      <c r="C96" s="8">
        <v>0</v>
      </c>
      <c r="D96" s="8">
        <v>19</v>
      </c>
      <c r="E96" s="8">
        <v>1</v>
      </c>
      <c r="F96" s="8">
        <v>7285750</v>
      </c>
      <c r="G96" s="8" t="s">
        <v>195</v>
      </c>
      <c r="H96" s="1">
        <v>43914</v>
      </c>
      <c r="I96" s="14">
        <f t="shared" si="6"/>
        <v>0</v>
      </c>
      <c r="J96" s="14">
        <f t="shared" si="7"/>
        <v>0.95</v>
      </c>
      <c r="K96" s="17">
        <f t="shared" si="8"/>
        <v>2.7450845829187114E-6</v>
      </c>
      <c r="L96" s="8" t="str" cm="1">
        <f t="array" ref="L96">_xlfn.IFS(I96&gt;5%,"High Risk",AND(I96&gt;2%,I96&lt;5%),"Modrate Risk",I96&lt;2%, "Low Risk")</f>
        <v>Low Risk</v>
      </c>
      <c r="S96"/>
      <c r="T96"/>
    </row>
    <row r="97" spans="1:20" ht="18" customHeight="1" x14ac:dyDescent="0.25">
      <c r="A97" s="9" t="s">
        <v>99</v>
      </c>
      <c r="B97" s="9">
        <v>1219</v>
      </c>
      <c r="C97" s="9">
        <v>31</v>
      </c>
      <c r="D97" s="9">
        <v>1045</v>
      </c>
      <c r="E97" s="9">
        <v>143</v>
      </c>
      <c r="F97" s="9">
        <v>1883936</v>
      </c>
      <c r="G97" s="9" t="s">
        <v>196</v>
      </c>
      <c r="H97" s="10">
        <v>43892</v>
      </c>
      <c r="I97" s="15">
        <f t="shared" si="6"/>
        <v>2.5430680885972109E-2</v>
      </c>
      <c r="J97" s="15">
        <f t="shared" si="7"/>
        <v>0.85726004922067267</v>
      </c>
      <c r="K97" s="18">
        <f t="shared" si="8"/>
        <v>6.4704958130212494E-4</v>
      </c>
      <c r="L97" s="9" t="str" cm="1">
        <f t="array" ref="L97">_xlfn.IFS(I97&gt;5%,"High Risk",AND(I97&gt;2%,I97&lt;5%),"Modrate Risk",I97&lt;2%, "Low Risk")</f>
        <v>Modrate Risk</v>
      </c>
      <c r="S97"/>
      <c r="T97"/>
    </row>
    <row r="98" spans="1:20" ht="18" customHeight="1" x14ac:dyDescent="0.25">
      <c r="A98" s="8" t="s">
        <v>100</v>
      </c>
      <c r="B98" s="8">
        <v>3882</v>
      </c>
      <c r="C98" s="8">
        <v>51</v>
      </c>
      <c r="D98" s="8">
        <v>1709</v>
      </c>
      <c r="E98" s="8">
        <v>2122</v>
      </c>
      <c r="F98" s="8">
        <v>6822220</v>
      </c>
      <c r="G98" s="8" t="s">
        <v>195</v>
      </c>
      <c r="H98" s="1">
        <v>43882</v>
      </c>
      <c r="I98" s="14">
        <f t="shared" ref="I98:I129" si="9">C98/B98</f>
        <v>1.3137557959814529E-2</v>
      </c>
      <c r="J98" s="14">
        <f t="shared" ref="J98:J129" si="10">D98/B98</f>
        <v>0.44023699124162802</v>
      </c>
      <c r="K98" s="17">
        <f t="shared" ref="K98:K129" si="11">B98/F98</f>
        <v>5.6902298665243865E-4</v>
      </c>
      <c r="L98" s="8" t="str" cm="1">
        <f t="array" ref="L98">_xlfn.IFS(I98&gt;5%,"High Risk",AND(I98&gt;2%,I98&lt;5%),"Modrate Risk",I98&lt;2%, "Low Risk")</f>
        <v>Low Risk</v>
      </c>
      <c r="S98"/>
      <c r="T98"/>
    </row>
    <row r="99" spans="1:20" ht="18" customHeight="1" x14ac:dyDescent="0.25">
      <c r="A99" s="9" t="s">
        <v>101</v>
      </c>
      <c r="B99" s="9">
        <v>505</v>
      </c>
      <c r="C99" s="9">
        <v>12</v>
      </c>
      <c r="D99" s="9">
        <v>128</v>
      </c>
      <c r="E99" s="9">
        <v>365</v>
      </c>
      <c r="F99" s="9">
        <v>2143943</v>
      </c>
      <c r="G99" s="9" t="s">
        <v>197</v>
      </c>
      <c r="H99" s="10">
        <v>43964</v>
      </c>
      <c r="I99" s="15">
        <f t="shared" si="9"/>
        <v>2.3762376237623763E-2</v>
      </c>
      <c r="J99" s="15">
        <f t="shared" si="10"/>
        <v>0.25346534653465347</v>
      </c>
      <c r="K99" s="18">
        <f t="shared" si="11"/>
        <v>2.3554730699463559E-4</v>
      </c>
      <c r="L99" s="9" t="str" cm="1">
        <f t="array" ref="L99">_xlfn.IFS(I99&gt;5%,"High Risk",AND(I99&gt;2%,I99&lt;5%),"Modrate Risk",I99&lt;2%, "Low Risk")</f>
        <v>Modrate Risk</v>
      </c>
      <c r="S99"/>
      <c r="T99"/>
    </row>
    <row r="100" spans="1:20" ht="18" customHeight="1" x14ac:dyDescent="0.25">
      <c r="A100" s="8" t="s">
        <v>102</v>
      </c>
      <c r="B100" s="8">
        <v>1167</v>
      </c>
      <c r="C100" s="8">
        <v>72</v>
      </c>
      <c r="D100" s="8">
        <v>646</v>
      </c>
      <c r="E100" s="8">
        <v>449</v>
      </c>
      <c r="F100" s="8">
        <v>5068618</v>
      </c>
      <c r="G100" s="8" t="s">
        <v>197</v>
      </c>
      <c r="H100" s="1">
        <v>43906</v>
      </c>
      <c r="I100" s="14">
        <f t="shared" si="9"/>
        <v>6.1696658097686374E-2</v>
      </c>
      <c r="J100" s="14">
        <f t="shared" si="10"/>
        <v>0.55355612682090827</v>
      </c>
      <c r="K100" s="17">
        <f t="shared" si="11"/>
        <v>2.3024027456793942E-4</v>
      </c>
      <c r="L100" s="8" t="str" cm="1">
        <f t="array" ref="L100">_xlfn.IFS(I100&gt;5%,"High Risk",AND(I100&gt;2%,I100&lt;5%),"Modrate Risk",I100&lt;2%, "Low Risk")</f>
        <v>High Risk</v>
      </c>
      <c r="S100"/>
      <c r="T100"/>
    </row>
    <row r="101" spans="1:20" ht="18" customHeight="1" x14ac:dyDescent="0.25">
      <c r="A101" s="9" t="s">
        <v>103</v>
      </c>
      <c r="B101" s="9">
        <v>2827</v>
      </c>
      <c r="C101" s="9">
        <v>64</v>
      </c>
      <c r="D101" s="9">
        <v>577</v>
      </c>
      <c r="E101" s="9">
        <v>2186</v>
      </c>
      <c r="F101" s="9">
        <v>6880353</v>
      </c>
      <c r="G101" s="9" t="s">
        <v>197</v>
      </c>
      <c r="H101" s="10">
        <v>43914</v>
      </c>
      <c r="I101" s="15">
        <f t="shared" si="9"/>
        <v>2.2638839759462327E-2</v>
      </c>
      <c r="J101" s="15">
        <f t="shared" si="10"/>
        <v>0.20410328970640254</v>
      </c>
      <c r="K101" s="18">
        <f t="shared" si="11"/>
        <v>4.1088008129815432E-4</v>
      </c>
      <c r="L101" s="9" t="str" cm="1">
        <f t="array" ref="L101">_xlfn.IFS(I101&gt;5%,"High Risk",AND(I101&gt;2%,I101&lt;5%),"Modrate Risk",I101&lt;2%, "Low Risk")</f>
        <v>Modrate Risk</v>
      </c>
      <c r="S101"/>
      <c r="T101"/>
    </row>
    <row r="102" spans="1:20" ht="18" customHeight="1" x14ac:dyDescent="0.25">
      <c r="A102" s="8" t="s">
        <v>104</v>
      </c>
      <c r="B102" s="8">
        <v>86</v>
      </c>
      <c r="C102" s="8">
        <v>1</v>
      </c>
      <c r="D102" s="8">
        <v>81</v>
      </c>
      <c r="E102" s="8">
        <v>4</v>
      </c>
      <c r="F102" s="8">
        <v>38139</v>
      </c>
      <c r="G102" s="8" t="s">
        <v>196</v>
      </c>
      <c r="H102" s="1">
        <v>43893</v>
      </c>
      <c r="I102" s="14">
        <f t="shared" si="9"/>
        <v>1.1627906976744186E-2</v>
      </c>
      <c r="J102" s="14">
        <f t="shared" si="10"/>
        <v>0.94186046511627908</v>
      </c>
      <c r="K102" s="17">
        <f t="shared" si="11"/>
        <v>2.2549096725136999E-3</v>
      </c>
      <c r="L102" s="8" t="str" cm="1">
        <f t="array" ref="L102">_xlfn.IFS(I102&gt;5%,"High Risk",AND(I102&gt;2%,I102&lt;5%),"Modrate Risk",I102&lt;2%, "Low Risk")</f>
        <v>Low Risk</v>
      </c>
      <c r="S102"/>
      <c r="T102"/>
    </row>
    <row r="103" spans="1:20" ht="18" customHeight="1" x14ac:dyDescent="0.25">
      <c r="A103" s="9" t="s">
        <v>105</v>
      </c>
      <c r="B103" s="9">
        <v>2019</v>
      </c>
      <c r="C103" s="9">
        <v>80</v>
      </c>
      <c r="D103" s="9">
        <v>1620</v>
      </c>
      <c r="E103" s="9">
        <v>319</v>
      </c>
      <c r="F103" s="9">
        <v>2718121</v>
      </c>
      <c r="G103" s="9" t="s">
        <v>196</v>
      </c>
      <c r="H103" s="10">
        <v>43889</v>
      </c>
      <c r="I103" s="15">
        <f t="shared" si="9"/>
        <v>3.9623576027736501E-2</v>
      </c>
      <c r="J103" s="15">
        <f t="shared" si="10"/>
        <v>0.80237741456166423</v>
      </c>
      <c r="K103" s="18">
        <f t="shared" si="11"/>
        <v>7.4279253940497862E-4</v>
      </c>
      <c r="L103" s="9" t="str" cm="1">
        <f t="array" ref="L103">_xlfn.IFS(I103&gt;5%,"High Risk",AND(I103&gt;2%,I103&lt;5%),"Modrate Risk",I103&lt;2%, "Low Risk")</f>
        <v>Modrate Risk</v>
      </c>
      <c r="S103"/>
      <c r="T103"/>
    </row>
    <row r="104" spans="1:20" ht="18" customHeight="1" x14ac:dyDescent="0.25">
      <c r="A104" s="8" t="s">
        <v>106</v>
      </c>
      <c r="B104" s="8">
        <v>6321</v>
      </c>
      <c r="C104" s="8">
        <v>112</v>
      </c>
      <c r="D104" s="8">
        <v>4825</v>
      </c>
      <c r="E104" s="8">
        <v>1384</v>
      </c>
      <c r="F104" s="8">
        <v>626952</v>
      </c>
      <c r="G104" s="8" t="s">
        <v>196</v>
      </c>
      <c r="H104" s="1">
        <v>43890</v>
      </c>
      <c r="I104" s="14">
        <f t="shared" si="9"/>
        <v>1.7718715393133997E-2</v>
      </c>
      <c r="J104" s="14">
        <f t="shared" si="10"/>
        <v>0.763328587248853</v>
      </c>
      <c r="K104" s="17">
        <f t="shared" si="11"/>
        <v>1.0082111549209509E-2</v>
      </c>
      <c r="L104" s="8" t="str" cm="1">
        <f t="array" ref="L104">_xlfn.IFS(I104&gt;5%,"High Risk",AND(I104&gt;2%,I104&lt;5%),"Modrate Risk",I104&lt;2%, "Low Risk")</f>
        <v>Low Risk</v>
      </c>
      <c r="S104"/>
      <c r="T104"/>
    </row>
    <row r="105" spans="1:20" ht="18" customHeight="1" x14ac:dyDescent="0.25">
      <c r="A105" s="9" t="s">
        <v>107</v>
      </c>
      <c r="B105" s="9">
        <v>9690</v>
      </c>
      <c r="C105" s="9">
        <v>91</v>
      </c>
      <c r="D105" s="9">
        <v>6260</v>
      </c>
      <c r="E105" s="9">
        <v>3339</v>
      </c>
      <c r="F105" s="9">
        <v>27755708</v>
      </c>
      <c r="G105" s="9" t="s">
        <v>197</v>
      </c>
      <c r="H105" s="10">
        <v>43910</v>
      </c>
      <c r="I105" s="15">
        <f t="shared" si="9"/>
        <v>9.3911248710010324E-3</v>
      </c>
      <c r="J105" s="15">
        <f t="shared" si="10"/>
        <v>0.6460268317853457</v>
      </c>
      <c r="K105" s="18">
        <f t="shared" si="11"/>
        <v>3.491173779461868E-4</v>
      </c>
      <c r="L105" s="9" t="str" cm="1">
        <f t="array" ref="L105">_xlfn.IFS(I105&gt;5%,"High Risk",AND(I105&gt;2%,I105&lt;5%),"Modrate Risk",I105&lt;2%, "Low Risk")</f>
        <v>Low Risk</v>
      </c>
      <c r="S105"/>
      <c r="T105"/>
    </row>
    <row r="106" spans="1:20" ht="18" customHeight="1" x14ac:dyDescent="0.25">
      <c r="A106" s="8" t="s">
        <v>108</v>
      </c>
      <c r="B106" s="8">
        <v>3664</v>
      </c>
      <c r="C106" s="8">
        <v>99</v>
      </c>
      <c r="D106" s="8">
        <v>1645</v>
      </c>
      <c r="E106" s="8">
        <v>1920</v>
      </c>
      <c r="F106" s="8">
        <v>19174839</v>
      </c>
      <c r="G106" s="8" t="s">
        <v>197</v>
      </c>
      <c r="H106" s="1">
        <v>43922</v>
      </c>
      <c r="I106" s="14">
        <f t="shared" si="9"/>
        <v>2.7019650655021835E-2</v>
      </c>
      <c r="J106" s="14">
        <f t="shared" si="10"/>
        <v>0.44896288209606988</v>
      </c>
      <c r="K106" s="17">
        <f t="shared" si="11"/>
        <v>1.910837426066524E-4</v>
      </c>
      <c r="L106" s="8" t="str" cm="1">
        <f t="array" ref="L106">_xlfn.IFS(I106&gt;5%,"High Risk",AND(I106&gt;2%,I106&lt;5%),"Modrate Risk",I106&lt;2%, "Low Risk")</f>
        <v>Modrate Risk</v>
      </c>
      <c r="S106"/>
      <c r="T106"/>
    </row>
    <row r="107" spans="1:20" ht="18" customHeight="1" x14ac:dyDescent="0.25">
      <c r="A107" s="9" t="s">
        <v>109</v>
      </c>
      <c r="B107" s="9">
        <v>8904</v>
      </c>
      <c r="C107" s="9">
        <v>124</v>
      </c>
      <c r="D107" s="9">
        <v>8601</v>
      </c>
      <c r="E107" s="9">
        <v>179</v>
      </c>
      <c r="F107" s="9">
        <v>32406372</v>
      </c>
      <c r="G107" s="9" t="s">
        <v>195</v>
      </c>
      <c r="H107" s="10">
        <v>43855</v>
      </c>
      <c r="I107" s="15">
        <f t="shared" si="9"/>
        <v>1.3926325247079964E-2</v>
      </c>
      <c r="J107" s="15">
        <f t="shared" si="10"/>
        <v>0.96597035040431267</v>
      </c>
      <c r="K107" s="18">
        <f t="shared" si="11"/>
        <v>2.7476077852837093E-4</v>
      </c>
      <c r="L107" s="9" t="str" cm="1">
        <f t="array" ref="L107">_xlfn.IFS(I107&gt;5%,"High Risk",AND(I107&gt;2%,I107&lt;5%),"Modrate Risk",I107&lt;2%, "Low Risk")</f>
        <v>Low Risk</v>
      </c>
      <c r="S107"/>
      <c r="T107"/>
    </row>
    <row r="108" spans="1:20" ht="18" customHeight="1" x14ac:dyDescent="0.25">
      <c r="A108" s="8" t="s">
        <v>110</v>
      </c>
      <c r="B108" s="8">
        <v>3369</v>
      </c>
      <c r="C108" s="8">
        <v>15</v>
      </c>
      <c r="D108" s="8">
        <v>2547</v>
      </c>
      <c r="E108" s="8">
        <v>807</v>
      </c>
      <c r="F108" s="8">
        <v>541448</v>
      </c>
      <c r="G108" s="8" t="s">
        <v>195</v>
      </c>
      <c r="H108" s="1">
        <v>43897</v>
      </c>
      <c r="I108" s="14">
        <f t="shared" si="9"/>
        <v>4.4523597506678537E-3</v>
      </c>
      <c r="J108" s="14">
        <f t="shared" si="10"/>
        <v>0.75601068566340157</v>
      </c>
      <c r="K108" s="17">
        <f t="shared" si="11"/>
        <v>6.2222041636500643E-3</v>
      </c>
      <c r="L108" s="8" t="str" cm="1">
        <f t="array" ref="L108">_xlfn.IFS(I108&gt;5%,"High Risk",AND(I108&gt;2%,I108&lt;5%),"Modrate Risk",I108&lt;2%, "Low Risk")</f>
        <v>Low Risk</v>
      </c>
      <c r="S108"/>
      <c r="T108"/>
    </row>
    <row r="109" spans="1:20" ht="18" customHeight="1" x14ac:dyDescent="0.25">
      <c r="A109" s="9" t="s">
        <v>111</v>
      </c>
      <c r="B109" s="9">
        <v>2513</v>
      </c>
      <c r="C109" s="9">
        <v>124</v>
      </c>
      <c r="D109" s="9">
        <v>1913</v>
      </c>
      <c r="E109" s="9">
        <v>476</v>
      </c>
      <c r="F109" s="9">
        <v>20302901</v>
      </c>
      <c r="G109" s="9" t="s">
        <v>197</v>
      </c>
      <c r="H109" s="10">
        <v>43915</v>
      </c>
      <c r="I109" s="15">
        <f t="shared" si="9"/>
        <v>4.9343414245921209E-2</v>
      </c>
      <c r="J109" s="15">
        <f t="shared" si="10"/>
        <v>0.76124154397134902</v>
      </c>
      <c r="K109" s="18">
        <f t="shared" si="11"/>
        <v>1.2377541514880066E-4</v>
      </c>
      <c r="L109" s="9" t="str" cm="1">
        <f t="array" ref="L109">_xlfn.IFS(I109&gt;5%,"High Risk",AND(I109&gt;2%,I109&lt;5%),"Modrate Risk",I109&lt;2%, "Low Risk")</f>
        <v>Modrate Risk</v>
      </c>
      <c r="S109"/>
      <c r="T109"/>
    </row>
    <row r="110" spans="1:20" ht="18" customHeight="1" x14ac:dyDescent="0.25">
      <c r="A110" s="8" t="s">
        <v>112</v>
      </c>
      <c r="B110" s="8">
        <v>701</v>
      </c>
      <c r="C110" s="8">
        <v>9</v>
      </c>
      <c r="D110" s="8">
        <v>665</v>
      </c>
      <c r="E110" s="8">
        <v>27</v>
      </c>
      <c r="F110" s="8">
        <v>441663</v>
      </c>
      <c r="G110" s="8" t="s">
        <v>196</v>
      </c>
      <c r="H110" s="1">
        <v>43897</v>
      </c>
      <c r="I110" s="14">
        <f t="shared" si="9"/>
        <v>1.2838801711840228E-2</v>
      </c>
      <c r="J110" s="14">
        <f t="shared" si="10"/>
        <v>0.94864479315263905</v>
      </c>
      <c r="K110" s="17">
        <f t="shared" si="11"/>
        <v>1.5871829879342395E-3</v>
      </c>
      <c r="L110" s="8" t="str" cm="1">
        <f t="array" ref="L110">_xlfn.IFS(I110&gt;5%,"High Risk",AND(I110&gt;2%,I110&lt;5%),"Modrate Risk",I110&lt;2%, "Low Risk")</f>
        <v>Low Risk</v>
      </c>
      <c r="S110"/>
      <c r="T110"/>
    </row>
    <row r="111" spans="1:20" ht="18" customHeight="1" x14ac:dyDescent="0.25">
      <c r="A111" s="9" t="s">
        <v>113</v>
      </c>
      <c r="B111" s="9">
        <v>6208</v>
      </c>
      <c r="C111" s="9">
        <v>156</v>
      </c>
      <c r="D111" s="9">
        <v>4653</v>
      </c>
      <c r="E111" s="9">
        <v>1399</v>
      </c>
      <c r="F111" s="9">
        <v>4660728</v>
      </c>
      <c r="G111" s="9" t="s">
        <v>197</v>
      </c>
      <c r="H111" s="10">
        <v>43903</v>
      </c>
      <c r="I111" s="15">
        <f t="shared" si="9"/>
        <v>2.5128865979381444E-2</v>
      </c>
      <c r="J111" s="15">
        <f t="shared" si="10"/>
        <v>0.74951675257731953</v>
      </c>
      <c r="K111" s="18">
        <f t="shared" si="11"/>
        <v>1.3319807549378553E-3</v>
      </c>
      <c r="L111" s="9" t="str" cm="1">
        <f t="array" ref="L111">_xlfn.IFS(I111&gt;5%,"High Risk",AND(I111&gt;2%,I111&lt;5%),"Modrate Risk",I111&lt;2%, "Low Risk")</f>
        <v>Modrate Risk</v>
      </c>
      <c r="S111"/>
      <c r="T111"/>
    </row>
    <row r="112" spans="1:20" ht="18" customHeight="1" x14ac:dyDescent="0.25">
      <c r="A112" s="8" t="s">
        <v>114</v>
      </c>
      <c r="B112" s="8">
        <v>344</v>
      </c>
      <c r="C112" s="8">
        <v>10</v>
      </c>
      <c r="D112" s="8">
        <v>332</v>
      </c>
      <c r="E112" s="8">
        <v>2</v>
      </c>
      <c r="F112" s="8">
        <v>1271985</v>
      </c>
      <c r="G112" s="8" t="s">
        <v>197</v>
      </c>
      <c r="H112" s="1">
        <v>43908</v>
      </c>
      <c r="I112" s="14">
        <f t="shared" si="9"/>
        <v>2.9069767441860465E-2</v>
      </c>
      <c r="J112" s="14">
        <f t="shared" si="10"/>
        <v>0.96511627906976749</v>
      </c>
      <c r="K112" s="17">
        <f t="shared" si="11"/>
        <v>2.7044344076384549E-4</v>
      </c>
      <c r="L112" s="8" t="str" cm="1">
        <f t="array" ref="L112">_xlfn.IFS(I112&gt;5%,"High Risk",AND(I112&gt;2%,I112&lt;5%),"Modrate Risk",I112&lt;2%, "Low Risk")</f>
        <v>Modrate Risk</v>
      </c>
      <c r="S112"/>
      <c r="T112"/>
    </row>
    <row r="113" spans="1:20" ht="18" customHeight="1" x14ac:dyDescent="0.25">
      <c r="A113" s="9" t="s">
        <v>115</v>
      </c>
      <c r="B113" s="9">
        <v>395489</v>
      </c>
      <c r="C113" s="9">
        <v>44022</v>
      </c>
      <c r="D113" s="9">
        <v>303810</v>
      </c>
      <c r="E113" s="9">
        <v>47657</v>
      </c>
      <c r="F113" s="9">
        <v>129066160</v>
      </c>
      <c r="G113" s="9" t="s">
        <v>198</v>
      </c>
      <c r="H113" s="10">
        <v>43889</v>
      </c>
      <c r="I113" s="15">
        <f t="shared" si="9"/>
        <v>0.11131030193001576</v>
      </c>
      <c r="J113" s="15">
        <f t="shared" si="10"/>
        <v>0.7681882429094109</v>
      </c>
      <c r="K113" s="18">
        <f t="shared" si="11"/>
        <v>3.0642346529872739E-3</v>
      </c>
      <c r="L113" s="9" t="str" cm="1">
        <f t="array" ref="L113">_xlfn.IFS(I113&gt;5%,"High Risk",AND(I113&gt;2%,I113&lt;5%),"Modrate Risk",I113&lt;2%, "Low Risk")</f>
        <v>High Risk</v>
      </c>
      <c r="S113"/>
      <c r="T113"/>
    </row>
    <row r="114" spans="1:20" ht="18" customHeight="1" x14ac:dyDescent="0.25">
      <c r="A114" s="8" t="s">
        <v>116</v>
      </c>
      <c r="B114" s="8">
        <v>23154</v>
      </c>
      <c r="C114" s="8">
        <v>748</v>
      </c>
      <c r="D114" s="8">
        <v>16154</v>
      </c>
      <c r="E114" s="8">
        <v>6252</v>
      </c>
      <c r="F114" s="8">
        <v>4032983</v>
      </c>
      <c r="G114" s="8" t="s">
        <v>196</v>
      </c>
      <c r="H114" s="1">
        <v>43897</v>
      </c>
      <c r="I114" s="14">
        <f t="shared" si="9"/>
        <v>3.2305433186490456E-2</v>
      </c>
      <c r="J114" s="14">
        <f t="shared" si="10"/>
        <v>0.69767642739915348</v>
      </c>
      <c r="K114" s="17">
        <f t="shared" si="11"/>
        <v>5.7411598313208854E-3</v>
      </c>
      <c r="L114" s="8" t="str" cm="1">
        <f t="array" ref="L114">_xlfn.IFS(I114&gt;5%,"High Risk",AND(I114&gt;2%,I114&lt;5%),"Modrate Risk",I114&lt;2%, "Low Risk")</f>
        <v>Modrate Risk</v>
      </c>
      <c r="S114"/>
      <c r="T114"/>
    </row>
    <row r="115" spans="1:20" ht="18" customHeight="1" x14ac:dyDescent="0.25">
      <c r="A115" s="9" t="s">
        <v>117</v>
      </c>
      <c r="B115" s="9">
        <v>116</v>
      </c>
      <c r="C115" s="9">
        <v>4</v>
      </c>
      <c r="D115" s="9">
        <v>104</v>
      </c>
      <c r="E115" s="9">
        <v>8</v>
      </c>
      <c r="F115" s="9">
        <v>39270</v>
      </c>
      <c r="G115" s="9" t="s">
        <v>196</v>
      </c>
      <c r="H115" s="10">
        <v>43890</v>
      </c>
      <c r="I115" s="15">
        <f t="shared" si="9"/>
        <v>3.4482758620689655E-2</v>
      </c>
      <c r="J115" s="15">
        <f t="shared" si="10"/>
        <v>0.89655172413793105</v>
      </c>
      <c r="K115" s="18">
        <f t="shared" si="11"/>
        <v>2.9539088362617776E-3</v>
      </c>
      <c r="L115" s="9" t="str" cm="1">
        <f t="array" ref="L115">_xlfn.IFS(I115&gt;5%,"High Risk",AND(I115&gt;2%,I115&lt;5%),"Modrate Risk",I115&lt;2%, "Low Risk")</f>
        <v>Modrate Risk</v>
      </c>
      <c r="S115"/>
      <c r="T115"/>
    </row>
    <row r="116" spans="1:20" ht="18" customHeight="1" x14ac:dyDescent="0.25">
      <c r="A116" s="8" t="s">
        <v>118</v>
      </c>
      <c r="B116" s="8">
        <v>289</v>
      </c>
      <c r="C116" s="8">
        <v>0</v>
      </c>
      <c r="D116" s="8">
        <v>222</v>
      </c>
      <c r="E116" s="8">
        <v>67</v>
      </c>
      <c r="F116" s="8">
        <v>3283344</v>
      </c>
      <c r="G116" s="8" t="s">
        <v>195</v>
      </c>
      <c r="H116" s="1">
        <v>43900</v>
      </c>
      <c r="I116" s="14">
        <f t="shared" si="9"/>
        <v>0</v>
      </c>
      <c r="J116" s="14">
        <f t="shared" si="10"/>
        <v>0.76816608996539792</v>
      </c>
      <c r="K116" s="17">
        <f t="shared" si="11"/>
        <v>8.8020018615167948E-5</v>
      </c>
      <c r="L116" s="8" t="str" cm="1">
        <f t="array" ref="L116">_xlfn.IFS(I116&gt;5%,"High Risk",AND(I116&gt;2%,I116&lt;5%),"Modrate Risk",I116&lt;2%, "Low Risk")</f>
        <v>Low Risk</v>
      </c>
      <c r="S116"/>
      <c r="T116"/>
    </row>
    <row r="117" spans="1:20" ht="18" customHeight="1" x14ac:dyDescent="0.25">
      <c r="A117" s="9" t="s">
        <v>119</v>
      </c>
      <c r="B117" s="9">
        <v>2893</v>
      </c>
      <c r="C117" s="9">
        <v>45</v>
      </c>
      <c r="D117" s="9">
        <v>809</v>
      </c>
      <c r="E117" s="9">
        <v>2039</v>
      </c>
      <c r="F117" s="9">
        <v>628074</v>
      </c>
      <c r="G117" s="9" t="s">
        <v>196</v>
      </c>
      <c r="H117" s="10">
        <v>43907</v>
      </c>
      <c r="I117" s="15">
        <f t="shared" si="9"/>
        <v>1.5554787417905289E-2</v>
      </c>
      <c r="J117" s="15">
        <f t="shared" si="10"/>
        <v>0.27964051157967507</v>
      </c>
      <c r="K117" s="18">
        <f t="shared" si="11"/>
        <v>4.6061451357642573E-3</v>
      </c>
      <c r="L117" s="9" t="str" cm="1">
        <f t="array" ref="L117">_xlfn.IFS(I117&gt;5%,"High Risk",AND(I117&gt;2%,I117&lt;5%),"Modrate Risk",I117&lt;2%, "Low Risk")</f>
        <v>Low Risk</v>
      </c>
      <c r="S117"/>
      <c r="T117"/>
    </row>
    <row r="118" spans="1:20" ht="18" customHeight="1" x14ac:dyDescent="0.25">
      <c r="A118" s="8" t="s">
        <v>120</v>
      </c>
      <c r="B118" s="8">
        <v>20887</v>
      </c>
      <c r="C118" s="8">
        <v>316</v>
      </c>
      <c r="D118" s="8">
        <v>16553</v>
      </c>
      <c r="E118" s="8">
        <v>4018</v>
      </c>
      <c r="F118" s="8">
        <v>36953359</v>
      </c>
      <c r="G118" s="8" t="s">
        <v>197</v>
      </c>
      <c r="H118" s="1">
        <v>43892</v>
      </c>
      <c r="I118" s="14">
        <f t="shared" si="9"/>
        <v>1.5129027624838417E-2</v>
      </c>
      <c r="J118" s="14">
        <f t="shared" si="10"/>
        <v>0.79250251352515921</v>
      </c>
      <c r="K118" s="17">
        <f t="shared" si="11"/>
        <v>5.6522601910153822E-4</v>
      </c>
      <c r="L118" s="8" t="str" cm="1">
        <f t="array" ref="L118">_xlfn.IFS(I118&gt;5%,"High Risk",AND(I118&gt;2%,I118&lt;5%),"Modrate Risk",I118&lt;2%, "Low Risk")</f>
        <v>Low Risk</v>
      </c>
      <c r="S118"/>
      <c r="T118"/>
    </row>
    <row r="119" spans="1:20" ht="18" customHeight="1" x14ac:dyDescent="0.25">
      <c r="A119" s="9" t="s">
        <v>121</v>
      </c>
      <c r="B119" s="9">
        <v>1701</v>
      </c>
      <c r="C119" s="9">
        <v>11</v>
      </c>
      <c r="D119" s="9">
        <v>0</v>
      </c>
      <c r="E119" s="9">
        <v>1690</v>
      </c>
      <c r="F119" s="9">
        <v>31333962</v>
      </c>
      <c r="G119" s="9" t="s">
        <v>197</v>
      </c>
      <c r="H119" s="10">
        <v>43912</v>
      </c>
      <c r="I119" s="15">
        <f t="shared" si="9"/>
        <v>6.4667842445620223E-3</v>
      </c>
      <c r="J119" s="15">
        <f t="shared" si="10"/>
        <v>0</v>
      </c>
      <c r="K119" s="18">
        <f t="shared" si="11"/>
        <v>5.4286144854583022E-5</v>
      </c>
      <c r="L119" s="9" t="str" cm="1">
        <f t="array" ref="L119">_xlfn.IFS(I119&gt;5%,"High Risk",AND(I119&gt;2%,I119&lt;5%),"Modrate Risk",I119&lt;2%, "Low Risk")</f>
        <v>Low Risk</v>
      </c>
      <c r="S119"/>
      <c r="T119"/>
    </row>
    <row r="120" spans="1:20" ht="18" customHeight="1" x14ac:dyDescent="0.25">
      <c r="A120" s="8" t="s">
        <v>122</v>
      </c>
      <c r="B120" s="8">
        <v>1843</v>
      </c>
      <c r="C120" s="8">
        <v>8</v>
      </c>
      <c r="D120" s="8">
        <v>101</v>
      </c>
      <c r="E120" s="8">
        <v>1734</v>
      </c>
      <c r="F120" s="8">
        <v>2545264</v>
      </c>
      <c r="G120" s="8" t="s">
        <v>197</v>
      </c>
      <c r="H120" s="1">
        <v>43904</v>
      </c>
      <c r="I120" s="14">
        <f t="shared" si="9"/>
        <v>4.3407487791644059E-3</v>
      </c>
      <c r="J120" s="14">
        <f t="shared" si="10"/>
        <v>5.4801953336950621E-2</v>
      </c>
      <c r="K120" s="17">
        <f t="shared" si="11"/>
        <v>7.2408991758811663E-4</v>
      </c>
      <c r="L120" s="8" t="str" cm="1">
        <f t="array" ref="L120">_xlfn.IFS(I120&gt;5%,"High Risk",AND(I120&gt;2%,I120&lt;5%),"Modrate Risk",I120&lt;2%, "Low Risk")</f>
        <v>Low Risk</v>
      </c>
      <c r="S120"/>
      <c r="T120"/>
    </row>
    <row r="121" spans="1:20" ht="18" customHeight="1" x14ac:dyDescent="0.25">
      <c r="A121" s="9" t="s">
        <v>123</v>
      </c>
      <c r="B121" s="9">
        <v>18752</v>
      </c>
      <c r="C121" s="9">
        <v>48</v>
      </c>
      <c r="D121" s="9">
        <v>13754</v>
      </c>
      <c r="E121" s="9">
        <v>4950</v>
      </c>
      <c r="F121" s="9">
        <v>29186486</v>
      </c>
      <c r="G121" s="9" t="s">
        <v>195</v>
      </c>
      <c r="H121" s="10">
        <v>43843</v>
      </c>
      <c r="I121" s="15">
        <f t="shared" si="9"/>
        <v>2.5597269624573378E-3</v>
      </c>
      <c r="J121" s="15">
        <f t="shared" si="10"/>
        <v>0.73346843003412965</v>
      </c>
      <c r="K121" s="18">
        <f t="shared" si="11"/>
        <v>6.4248913007204774E-4</v>
      </c>
      <c r="L121" s="9" t="str" cm="1">
        <f t="array" ref="L121">_xlfn.IFS(I121&gt;5%,"High Risk",AND(I121&gt;2%,I121&lt;5%),"Modrate Risk",I121&lt;2%, "Low Risk")</f>
        <v>Low Risk</v>
      </c>
      <c r="S121"/>
      <c r="T121"/>
    </row>
    <row r="122" spans="1:20" ht="18" customHeight="1" x14ac:dyDescent="0.25">
      <c r="A122" s="8" t="s">
        <v>124</v>
      </c>
      <c r="B122" s="8">
        <v>53413</v>
      </c>
      <c r="C122" s="8">
        <v>6160</v>
      </c>
      <c r="D122" s="8">
        <v>189</v>
      </c>
      <c r="E122" s="8">
        <v>47064</v>
      </c>
      <c r="F122" s="8">
        <v>17138756</v>
      </c>
      <c r="G122" s="8" t="s">
        <v>196</v>
      </c>
      <c r="H122" s="1">
        <v>43888</v>
      </c>
      <c r="I122" s="14">
        <f t="shared" si="9"/>
        <v>0.11532772920450078</v>
      </c>
      <c r="J122" s="14">
        <f t="shared" si="10"/>
        <v>3.5384644187744555E-3</v>
      </c>
      <c r="K122" s="17">
        <f t="shared" si="11"/>
        <v>3.1165039049508613E-3</v>
      </c>
      <c r="L122" s="8" t="str" cm="1">
        <f t="array" ref="L122">_xlfn.IFS(I122&gt;5%,"High Risk",AND(I122&gt;2%,I122&lt;5%),"Modrate Risk",I122&lt;2%, "Low Risk")</f>
        <v>High Risk</v>
      </c>
      <c r="S122"/>
      <c r="T122"/>
    </row>
    <row r="123" spans="1:20" ht="18" customHeight="1" x14ac:dyDescent="0.25">
      <c r="A123" s="9" t="s">
        <v>125</v>
      </c>
      <c r="B123" s="9">
        <v>1557</v>
      </c>
      <c r="C123" s="9">
        <v>22</v>
      </c>
      <c r="D123" s="9">
        <v>1514</v>
      </c>
      <c r="E123" s="9">
        <v>21</v>
      </c>
      <c r="F123" s="9">
        <v>5002100</v>
      </c>
      <c r="G123" s="9" t="s">
        <v>200</v>
      </c>
      <c r="H123" s="10">
        <v>43889</v>
      </c>
      <c r="I123" s="15">
        <f t="shared" si="9"/>
        <v>1.4129736673089274E-2</v>
      </c>
      <c r="J123" s="15">
        <f t="shared" si="10"/>
        <v>0.97238278741168915</v>
      </c>
      <c r="K123" s="18">
        <f t="shared" si="11"/>
        <v>3.112692669078987E-4</v>
      </c>
      <c r="L123" s="9" t="str" cm="1">
        <f t="array" ref="L123">_xlfn.IFS(I123&gt;5%,"High Risk",AND(I123&gt;2%,I123&lt;5%),"Modrate Risk",I123&lt;2%, "Low Risk")</f>
        <v>Low Risk</v>
      </c>
      <c r="S123"/>
      <c r="T123"/>
    </row>
    <row r="124" spans="1:20" ht="18" customHeight="1" x14ac:dyDescent="0.25">
      <c r="A124" s="8" t="s">
        <v>126</v>
      </c>
      <c r="B124" s="8">
        <v>3439</v>
      </c>
      <c r="C124" s="8">
        <v>108</v>
      </c>
      <c r="D124" s="8">
        <v>2492</v>
      </c>
      <c r="E124" s="8">
        <v>839</v>
      </c>
      <c r="F124" s="8">
        <v>6632263</v>
      </c>
      <c r="G124" s="8" t="s">
        <v>198</v>
      </c>
      <c r="H124" s="1">
        <v>43908</v>
      </c>
      <c r="I124" s="14">
        <f t="shared" si="9"/>
        <v>3.1404478045943589E-2</v>
      </c>
      <c r="J124" s="14">
        <f t="shared" si="10"/>
        <v>0.72462925268973544</v>
      </c>
      <c r="K124" s="17">
        <f t="shared" si="11"/>
        <v>5.1852587872344626E-4</v>
      </c>
      <c r="L124" s="8" t="str" cm="1">
        <f t="array" ref="L124">_xlfn.IFS(I124&gt;5%,"High Risk",AND(I124&gt;2%,I124&lt;5%),"Modrate Risk",I124&lt;2%, "Low Risk")</f>
        <v>Modrate Risk</v>
      </c>
      <c r="S124"/>
      <c r="T124"/>
    </row>
    <row r="125" spans="1:20" ht="18" customHeight="1" x14ac:dyDescent="0.25">
      <c r="A125" s="9" t="s">
        <v>127</v>
      </c>
      <c r="B125" s="9">
        <v>1132</v>
      </c>
      <c r="C125" s="9">
        <v>69</v>
      </c>
      <c r="D125" s="9">
        <v>1027</v>
      </c>
      <c r="E125" s="9">
        <v>36</v>
      </c>
      <c r="F125" s="9">
        <v>24281433</v>
      </c>
      <c r="G125" s="9" t="s">
        <v>197</v>
      </c>
      <c r="H125" s="10">
        <v>43909</v>
      </c>
      <c r="I125" s="15">
        <f t="shared" si="9"/>
        <v>6.0954063604240286E-2</v>
      </c>
      <c r="J125" s="15">
        <f t="shared" si="10"/>
        <v>0.90724381625441697</v>
      </c>
      <c r="K125" s="18">
        <f t="shared" si="11"/>
        <v>4.6619983260460779E-5</v>
      </c>
      <c r="L125" s="9" t="str" cm="1">
        <f t="array" ref="L125">_xlfn.IFS(I125&gt;5%,"High Risk",AND(I125&gt;2%,I125&lt;5%),"Modrate Risk",I125&lt;2%, "Low Risk")</f>
        <v>High Risk</v>
      </c>
      <c r="S125"/>
      <c r="T125"/>
    </row>
    <row r="126" spans="1:20" ht="18" customHeight="1" x14ac:dyDescent="0.25">
      <c r="A126" s="8" t="s">
        <v>128</v>
      </c>
      <c r="B126" s="8">
        <v>41180</v>
      </c>
      <c r="C126" s="8">
        <v>860</v>
      </c>
      <c r="D126" s="8">
        <v>18203</v>
      </c>
      <c r="E126" s="8">
        <v>22117</v>
      </c>
      <c r="F126" s="8">
        <v>206606300</v>
      </c>
      <c r="G126" s="8" t="s">
        <v>197</v>
      </c>
      <c r="H126" s="1">
        <v>43888</v>
      </c>
      <c r="I126" s="14">
        <f t="shared" si="9"/>
        <v>2.0883924235065566E-2</v>
      </c>
      <c r="J126" s="14">
        <f t="shared" si="10"/>
        <v>0.44203496843127732</v>
      </c>
      <c r="K126" s="17">
        <f t="shared" si="11"/>
        <v>1.9931628415977636E-4</v>
      </c>
      <c r="L126" s="8" t="str" cm="1">
        <f t="array" ref="L126">_xlfn.IFS(I126&gt;5%,"High Risk",AND(I126&gt;2%,I126&lt;5%),"Modrate Risk",I126&lt;2%, "Low Risk")</f>
        <v>Modrate Risk</v>
      </c>
      <c r="S126"/>
      <c r="T126"/>
    </row>
    <row r="127" spans="1:20" ht="18" customHeight="1" x14ac:dyDescent="0.25">
      <c r="A127" s="9" t="s">
        <v>129</v>
      </c>
      <c r="B127" s="9">
        <v>10213</v>
      </c>
      <c r="C127" s="9">
        <v>466</v>
      </c>
      <c r="D127" s="9">
        <v>5564</v>
      </c>
      <c r="E127" s="9">
        <v>4183</v>
      </c>
      <c r="F127" s="9">
        <v>2083365</v>
      </c>
      <c r="G127" s="9" t="s">
        <v>196</v>
      </c>
      <c r="H127" s="10">
        <v>43887</v>
      </c>
      <c r="I127" s="15">
        <f t="shared" si="9"/>
        <v>4.5628121022226575E-2</v>
      </c>
      <c r="J127" s="15">
        <f t="shared" si="10"/>
        <v>0.54479584842847351</v>
      </c>
      <c r="K127" s="18">
        <f t="shared" si="11"/>
        <v>4.9021654870845966E-3</v>
      </c>
      <c r="L127" s="9" t="str" cm="1">
        <f t="array" ref="L127">_xlfn.IFS(I127&gt;5%,"High Risk",AND(I127&gt;2%,I127&lt;5%),"Modrate Risk",I127&lt;2%, "Low Risk")</f>
        <v>Modrate Risk</v>
      </c>
      <c r="S127"/>
      <c r="T127"/>
    </row>
    <row r="128" spans="1:20" ht="18" customHeight="1" x14ac:dyDescent="0.25">
      <c r="A128" s="8" t="s">
        <v>130</v>
      </c>
      <c r="B128" s="8">
        <v>9132</v>
      </c>
      <c r="C128" s="8">
        <v>255</v>
      </c>
      <c r="D128" s="8">
        <v>8752</v>
      </c>
      <c r="E128" s="8">
        <v>125</v>
      </c>
      <c r="F128" s="8">
        <v>5425471</v>
      </c>
      <c r="G128" s="8" t="s">
        <v>196</v>
      </c>
      <c r="H128" s="1">
        <v>43887</v>
      </c>
      <c r="I128" s="14">
        <f t="shared" si="9"/>
        <v>2.7923784494086726E-2</v>
      </c>
      <c r="J128" s="14">
        <f t="shared" si="10"/>
        <v>0.95838808585194923</v>
      </c>
      <c r="K128" s="17">
        <f t="shared" si="11"/>
        <v>1.6831718389057834E-3</v>
      </c>
      <c r="L128" s="8" t="str" cm="1">
        <f t="array" ref="L128">_xlfn.IFS(I128&gt;5%,"High Risk",AND(I128&gt;2%,I128&lt;5%),"Modrate Risk",I128&lt;2%, "Low Risk")</f>
        <v>Modrate Risk</v>
      </c>
      <c r="S128"/>
      <c r="T128"/>
    </row>
    <row r="129" spans="1:20" ht="18" customHeight="1" x14ac:dyDescent="0.25">
      <c r="A129" s="9" t="s">
        <v>131</v>
      </c>
      <c r="B129" s="9">
        <v>77058</v>
      </c>
      <c r="C129" s="9">
        <v>393</v>
      </c>
      <c r="D129" s="9">
        <v>57028</v>
      </c>
      <c r="E129" s="9">
        <v>19637</v>
      </c>
      <c r="F129" s="9">
        <v>5118446</v>
      </c>
      <c r="G129" s="9" t="s">
        <v>195</v>
      </c>
      <c r="H129" s="10">
        <v>43885</v>
      </c>
      <c r="I129" s="15">
        <f t="shared" si="9"/>
        <v>5.1000545043992833E-3</v>
      </c>
      <c r="J129" s="15">
        <f t="shared" si="10"/>
        <v>0.74006592436865737</v>
      </c>
      <c r="K129" s="18">
        <f t="shared" si="11"/>
        <v>1.5054960040606075E-2</v>
      </c>
      <c r="L129" s="9" t="str" cm="1">
        <f t="array" ref="L129">_xlfn.IFS(I129&gt;5%,"High Risk",AND(I129&gt;2%,I129&lt;5%),"Modrate Risk",I129&lt;2%, "Low Risk")</f>
        <v>Low Risk</v>
      </c>
      <c r="S129"/>
      <c r="T129"/>
    </row>
    <row r="130" spans="1:20" ht="18" customHeight="1" x14ac:dyDescent="0.25">
      <c r="A130" s="8" t="s">
        <v>132</v>
      </c>
      <c r="B130" s="8">
        <v>274289</v>
      </c>
      <c r="C130" s="8">
        <v>5842</v>
      </c>
      <c r="D130" s="8">
        <v>241026</v>
      </c>
      <c r="E130" s="8">
        <v>27421</v>
      </c>
      <c r="F130" s="8">
        <v>221295851</v>
      </c>
      <c r="G130" s="8" t="s">
        <v>195</v>
      </c>
      <c r="H130" s="1">
        <v>43887</v>
      </c>
      <c r="I130" s="14">
        <f t="shared" ref="I130:I161" si="12">C130/B130</f>
        <v>2.1298703192618004E-2</v>
      </c>
      <c r="J130" s="14">
        <f t="shared" ref="J130:J161" si="13">D130/B130</f>
        <v>0.8787300985456945</v>
      </c>
      <c r="K130" s="17">
        <f t="shared" ref="K130:K161" si="14">B130/F130</f>
        <v>1.2394674313166406E-3</v>
      </c>
      <c r="L130" s="8" t="str" cm="1">
        <f t="array" ref="L130">_xlfn.IFS(I130&gt;5%,"High Risk",AND(I130&gt;2%,I130&lt;5%),"Modrate Risk",I130&lt;2%, "Low Risk")</f>
        <v>Modrate Risk</v>
      </c>
      <c r="S130"/>
      <c r="T130"/>
    </row>
    <row r="131" spans="1:20" ht="18" customHeight="1" x14ac:dyDescent="0.25">
      <c r="A131" s="9" t="s">
        <v>133</v>
      </c>
      <c r="B131" s="9">
        <v>61442</v>
      </c>
      <c r="C131" s="9">
        <v>1322</v>
      </c>
      <c r="D131" s="9">
        <v>35086</v>
      </c>
      <c r="E131" s="9">
        <v>25034</v>
      </c>
      <c r="F131" s="9">
        <v>5112340</v>
      </c>
      <c r="G131" s="9" t="s">
        <v>195</v>
      </c>
      <c r="H131" s="10">
        <v>43899</v>
      </c>
      <c r="I131" s="15">
        <f t="shared" si="12"/>
        <v>2.1516226685329255E-2</v>
      </c>
      <c r="J131" s="15">
        <f t="shared" si="13"/>
        <v>0.57104260929006212</v>
      </c>
      <c r="K131" s="18">
        <f t="shared" si="14"/>
        <v>1.2018371235089998E-2</v>
      </c>
      <c r="L131" s="9" t="str" cm="1">
        <f t="array" ref="L131">_xlfn.IFS(I131&gt;5%,"High Risk",AND(I131&gt;2%,I131&lt;5%),"Modrate Risk",I131&lt;2%, "Low Risk")</f>
        <v>Modrate Risk</v>
      </c>
      <c r="S131"/>
      <c r="T131"/>
    </row>
    <row r="132" spans="1:20" ht="18" customHeight="1" x14ac:dyDescent="0.25">
      <c r="A132" s="8" t="s">
        <v>134</v>
      </c>
      <c r="B132" s="8">
        <v>62</v>
      </c>
      <c r="C132" s="8">
        <v>0</v>
      </c>
      <c r="D132" s="8">
        <v>11</v>
      </c>
      <c r="E132" s="8">
        <v>51</v>
      </c>
      <c r="F132" s="8">
        <v>8963009</v>
      </c>
      <c r="G132" s="8" t="s">
        <v>200</v>
      </c>
      <c r="H132" s="1">
        <v>43910</v>
      </c>
      <c r="I132" s="14">
        <f t="shared" si="12"/>
        <v>0</v>
      </c>
      <c r="J132" s="14">
        <f t="shared" si="13"/>
        <v>0.17741935483870969</v>
      </c>
      <c r="K132" s="17">
        <f t="shared" si="14"/>
        <v>6.9173198420307291E-6</v>
      </c>
      <c r="L132" s="8" t="str" cm="1">
        <f t="array" ref="L132">_xlfn.IFS(I132&gt;5%,"High Risk",AND(I132&gt;2%,I132&lt;5%),"Modrate Risk",I132&lt;2%, "Low Risk")</f>
        <v>Low Risk</v>
      </c>
      <c r="S132"/>
      <c r="T132"/>
    </row>
    <row r="133" spans="1:20" ht="18" customHeight="1" x14ac:dyDescent="0.25">
      <c r="A133" s="9" t="s">
        <v>135</v>
      </c>
      <c r="B133" s="9">
        <v>4548</v>
      </c>
      <c r="C133" s="9">
        <v>43</v>
      </c>
      <c r="D133" s="9">
        <v>2905</v>
      </c>
      <c r="E133" s="9">
        <v>1600</v>
      </c>
      <c r="F133" s="9">
        <v>7141091</v>
      </c>
      <c r="G133" s="9" t="s">
        <v>199</v>
      </c>
      <c r="H133" s="10">
        <v>43897</v>
      </c>
      <c r="I133" s="15">
        <f t="shared" si="12"/>
        <v>9.4547053649956022E-3</v>
      </c>
      <c r="J133" s="15">
        <f t="shared" si="13"/>
        <v>0.63874230430958667</v>
      </c>
      <c r="K133" s="18">
        <f t="shared" si="14"/>
        <v>6.368774743243014E-4</v>
      </c>
      <c r="L133" s="9" t="str" cm="1">
        <f t="array" ref="L133">_xlfn.IFS(I133&gt;5%,"High Risk",AND(I133&gt;2%,I133&lt;5%),"Modrate Risk",I133&lt;2%, "Low Risk")</f>
        <v>Low Risk</v>
      </c>
      <c r="S133"/>
      <c r="T133"/>
    </row>
    <row r="134" spans="1:20" ht="18" customHeight="1" x14ac:dyDescent="0.25">
      <c r="A134" s="8" t="s">
        <v>136</v>
      </c>
      <c r="B134" s="8">
        <v>389717</v>
      </c>
      <c r="C134" s="8">
        <v>18418</v>
      </c>
      <c r="D134" s="8">
        <v>272547</v>
      </c>
      <c r="E134" s="8">
        <v>98752</v>
      </c>
      <c r="F134" s="8">
        <v>33016319</v>
      </c>
      <c r="G134" s="8" t="s">
        <v>199</v>
      </c>
      <c r="H134" s="1">
        <v>43896</v>
      </c>
      <c r="I134" s="14">
        <f t="shared" si="12"/>
        <v>4.7259934773181564E-2</v>
      </c>
      <c r="J134" s="14">
        <f t="shared" si="13"/>
        <v>0.69934593564047753</v>
      </c>
      <c r="K134" s="17">
        <f t="shared" si="14"/>
        <v>1.180376891803111E-2</v>
      </c>
      <c r="L134" s="8" t="str" cm="1">
        <f t="array" ref="L134">_xlfn.IFS(I134&gt;5%,"High Risk",AND(I134&gt;2%,I134&lt;5%),"Modrate Risk",I134&lt;2%, "Low Risk")</f>
        <v>Modrate Risk</v>
      </c>
      <c r="S134"/>
      <c r="T134"/>
    </row>
    <row r="135" spans="1:20" ht="18" customHeight="1" x14ac:dyDescent="0.25">
      <c r="A135" s="9" t="s">
        <v>137</v>
      </c>
      <c r="B135" s="9">
        <v>82040</v>
      </c>
      <c r="C135" s="9">
        <v>1945</v>
      </c>
      <c r="D135" s="9">
        <v>26446</v>
      </c>
      <c r="E135" s="9">
        <v>53649</v>
      </c>
      <c r="F135" s="9">
        <v>109722719</v>
      </c>
      <c r="G135" s="9" t="s">
        <v>195</v>
      </c>
      <c r="H135" s="10">
        <v>43860</v>
      </c>
      <c r="I135" s="15">
        <f t="shared" si="12"/>
        <v>2.370794734275963E-2</v>
      </c>
      <c r="J135" s="15">
        <f t="shared" si="13"/>
        <v>0.32235494880546073</v>
      </c>
      <c r="K135" s="18">
        <f t="shared" si="14"/>
        <v>7.4770294381786148E-4</v>
      </c>
      <c r="L135" s="9" t="str" cm="1">
        <f t="array" ref="L135">_xlfn.IFS(I135&gt;5%,"High Risk",AND(I135&gt;2%,I135&lt;5%),"Modrate Risk",I135&lt;2%, "Low Risk")</f>
        <v>Modrate Risk</v>
      </c>
      <c r="S135"/>
      <c r="T135"/>
    </row>
    <row r="136" spans="1:20" ht="18" customHeight="1" x14ac:dyDescent="0.25">
      <c r="A136" s="8" t="s">
        <v>138</v>
      </c>
      <c r="B136" s="8">
        <v>43402</v>
      </c>
      <c r="C136" s="8">
        <v>1676</v>
      </c>
      <c r="D136" s="8">
        <v>32856</v>
      </c>
      <c r="E136" s="8">
        <v>8870</v>
      </c>
      <c r="F136" s="8">
        <v>37842302</v>
      </c>
      <c r="G136" s="8" t="s">
        <v>196</v>
      </c>
      <c r="H136" s="1">
        <v>43894</v>
      </c>
      <c r="I136" s="14">
        <f t="shared" si="12"/>
        <v>3.8615731993917331E-2</v>
      </c>
      <c r="J136" s="14">
        <f t="shared" si="13"/>
        <v>0.75701580572323857</v>
      </c>
      <c r="K136" s="17">
        <f t="shared" si="14"/>
        <v>1.1469175421727779E-3</v>
      </c>
      <c r="L136" s="8" t="str" cm="1">
        <f t="array" ref="L136">_xlfn.IFS(I136&gt;5%,"High Risk",AND(I136&gt;2%,I136&lt;5%),"Modrate Risk",I136&lt;2%, "Low Risk")</f>
        <v>Modrate Risk</v>
      </c>
      <c r="S136"/>
      <c r="T136"/>
    </row>
    <row r="137" spans="1:20" ht="18" customHeight="1" x14ac:dyDescent="0.25">
      <c r="A137" s="9" t="s">
        <v>139</v>
      </c>
      <c r="B137" s="9">
        <v>50299</v>
      </c>
      <c r="C137" s="9">
        <v>1719</v>
      </c>
      <c r="D137" s="9">
        <v>35375</v>
      </c>
      <c r="E137" s="9">
        <v>13205</v>
      </c>
      <c r="F137" s="9">
        <v>10193593</v>
      </c>
      <c r="G137" s="9" t="s">
        <v>196</v>
      </c>
      <c r="H137" s="10">
        <v>43892</v>
      </c>
      <c r="I137" s="15">
        <f t="shared" si="12"/>
        <v>3.4175629734189548E-2</v>
      </c>
      <c r="J137" s="15">
        <f t="shared" si="13"/>
        <v>0.70329430008548877</v>
      </c>
      <c r="K137" s="18">
        <f t="shared" si="14"/>
        <v>4.9343739739265632E-3</v>
      </c>
      <c r="L137" s="9" t="str" cm="1">
        <f t="array" ref="L137">_xlfn.IFS(I137&gt;5%,"High Risk",AND(I137&gt;2%,I137&lt;5%),"Modrate Risk",I137&lt;2%, "Low Risk")</f>
        <v>Modrate Risk</v>
      </c>
      <c r="S137"/>
      <c r="T137"/>
    </row>
    <row r="138" spans="1:20" ht="18" customHeight="1" x14ac:dyDescent="0.25">
      <c r="A138" s="8" t="s">
        <v>140</v>
      </c>
      <c r="B138" s="8">
        <v>109597</v>
      </c>
      <c r="C138" s="8">
        <v>165</v>
      </c>
      <c r="D138" s="8">
        <v>106328</v>
      </c>
      <c r="E138" s="8">
        <v>3104</v>
      </c>
      <c r="F138" s="8">
        <v>2807805</v>
      </c>
      <c r="G138" s="8" t="s">
        <v>195</v>
      </c>
      <c r="H138" s="1">
        <v>43888</v>
      </c>
      <c r="I138" s="14">
        <f t="shared" si="12"/>
        <v>1.5055156619250528E-3</v>
      </c>
      <c r="J138" s="14">
        <f t="shared" si="13"/>
        <v>0.97017254121919394</v>
      </c>
      <c r="K138" s="17">
        <f t="shared" si="14"/>
        <v>3.9032981278970584E-2</v>
      </c>
      <c r="L138" s="8" t="str" cm="1">
        <f t="array" ref="L138">_xlfn.IFS(I138&gt;5%,"High Risk",AND(I138&gt;2%,I138&lt;5%),"Modrate Risk",I138&lt;2%, "Low Risk")</f>
        <v>Low Risk</v>
      </c>
      <c r="S138"/>
      <c r="T138"/>
    </row>
    <row r="139" spans="1:20" ht="18" customHeight="1" x14ac:dyDescent="0.25">
      <c r="A139" s="9" t="s">
        <v>141</v>
      </c>
      <c r="B139" s="9">
        <v>45902</v>
      </c>
      <c r="C139" s="9">
        <v>2206</v>
      </c>
      <c r="D139" s="9">
        <v>25794</v>
      </c>
      <c r="E139" s="9">
        <v>17902</v>
      </c>
      <c r="F139" s="9">
        <v>19224023</v>
      </c>
      <c r="G139" s="9" t="s">
        <v>196</v>
      </c>
      <c r="H139" s="10">
        <v>43887</v>
      </c>
      <c r="I139" s="15">
        <f t="shared" si="12"/>
        <v>4.805890810857915E-2</v>
      </c>
      <c r="J139" s="15">
        <f t="shared" si="13"/>
        <v>0.56193629907193587</v>
      </c>
      <c r="K139" s="18">
        <f t="shared" si="14"/>
        <v>2.3877416293145303E-3</v>
      </c>
      <c r="L139" s="9" t="str" cm="1">
        <f t="array" ref="L139">_xlfn.IFS(I139&gt;5%,"High Risk",AND(I139&gt;2%,I139&lt;5%),"Modrate Risk",I139&lt;2%, "Low Risk")</f>
        <v>Modrate Risk</v>
      </c>
      <c r="S139"/>
      <c r="T139"/>
    </row>
    <row r="140" spans="1:20" ht="18" customHeight="1" x14ac:dyDescent="0.25">
      <c r="A140" s="8" t="s">
        <v>142</v>
      </c>
      <c r="B140" s="8">
        <v>816680</v>
      </c>
      <c r="C140" s="8">
        <v>13334</v>
      </c>
      <c r="D140" s="8">
        <v>602249</v>
      </c>
      <c r="E140" s="8">
        <v>201097</v>
      </c>
      <c r="F140" s="8">
        <v>145940924</v>
      </c>
      <c r="G140" s="8" t="s">
        <v>196</v>
      </c>
      <c r="H140" s="1">
        <v>43861</v>
      </c>
      <c r="I140" s="14">
        <f t="shared" si="12"/>
        <v>1.6327080374197972E-2</v>
      </c>
      <c r="J140" s="14">
        <f t="shared" si="13"/>
        <v>0.73743571533525987</v>
      </c>
      <c r="K140" s="17">
        <f t="shared" si="14"/>
        <v>5.5959629253820543E-3</v>
      </c>
      <c r="L140" s="8" t="str" cm="1">
        <f t="array" ref="L140">_xlfn.IFS(I140&gt;5%,"High Risk",AND(I140&gt;2%,I140&lt;5%),"Modrate Risk",I140&lt;2%, "Low Risk")</f>
        <v>Low Risk</v>
      </c>
      <c r="S140"/>
      <c r="T140"/>
    </row>
    <row r="141" spans="1:20" ht="18" customHeight="1" x14ac:dyDescent="0.25">
      <c r="A141" s="9" t="s">
        <v>143</v>
      </c>
      <c r="B141" s="9">
        <v>1879</v>
      </c>
      <c r="C141" s="9">
        <v>5</v>
      </c>
      <c r="D141" s="9">
        <v>975</v>
      </c>
      <c r="E141" s="9">
        <v>899</v>
      </c>
      <c r="F141" s="9">
        <v>12981546</v>
      </c>
      <c r="G141" s="9" t="s">
        <v>197</v>
      </c>
      <c r="H141" s="10">
        <v>43904</v>
      </c>
      <c r="I141" s="15">
        <f t="shared" si="12"/>
        <v>2.6609898882384245E-3</v>
      </c>
      <c r="J141" s="15">
        <f t="shared" si="13"/>
        <v>0.51889302820649286</v>
      </c>
      <c r="K141" s="18">
        <f t="shared" si="14"/>
        <v>1.4474393111575461E-4</v>
      </c>
      <c r="L141" s="9" t="str" cm="1">
        <f t="array" ref="L141">_xlfn.IFS(I141&gt;5%,"High Risk",AND(I141&gt;2%,I141&lt;5%),"Modrate Risk",I141&lt;2%, "Low Risk")</f>
        <v>Low Risk</v>
      </c>
      <c r="S141"/>
      <c r="T141"/>
    </row>
    <row r="142" spans="1:20" ht="18" customHeight="1" x14ac:dyDescent="0.25">
      <c r="A142" s="8" t="s">
        <v>144</v>
      </c>
      <c r="B142" s="8">
        <v>17</v>
      </c>
      <c r="C142" s="8">
        <v>0</v>
      </c>
      <c r="D142" s="8">
        <v>15</v>
      </c>
      <c r="E142" s="8">
        <v>2</v>
      </c>
      <c r="F142" s="8">
        <v>53237</v>
      </c>
      <c r="G142" s="8" t="s">
        <v>198</v>
      </c>
      <c r="H142" s="1">
        <v>43914</v>
      </c>
      <c r="I142" s="14">
        <f t="shared" si="12"/>
        <v>0</v>
      </c>
      <c r="J142" s="14">
        <f t="shared" si="13"/>
        <v>0.88235294117647056</v>
      </c>
      <c r="K142" s="17">
        <f t="shared" si="14"/>
        <v>3.1932678400360654E-4</v>
      </c>
      <c r="L142" s="8" t="str" cm="1">
        <f t="array" ref="L142">_xlfn.IFS(I142&gt;5%,"High Risk",AND(I142&gt;2%,I142&lt;5%),"Modrate Risk",I142&lt;2%, "Low Risk")</f>
        <v>Low Risk</v>
      </c>
      <c r="S142"/>
      <c r="T142"/>
    </row>
    <row r="143" spans="1:20" ht="18" customHeight="1" x14ac:dyDescent="0.25">
      <c r="A143" s="9" t="s">
        <v>145</v>
      </c>
      <c r="B143" s="9">
        <v>24</v>
      </c>
      <c r="C143" s="9">
        <v>0</v>
      </c>
      <c r="D143" s="9">
        <v>22</v>
      </c>
      <c r="E143" s="9">
        <v>2</v>
      </c>
      <c r="F143" s="9">
        <v>183712</v>
      </c>
      <c r="G143" s="9" t="s">
        <v>198</v>
      </c>
      <c r="H143" s="10">
        <v>43903</v>
      </c>
      <c r="I143" s="15">
        <f t="shared" si="12"/>
        <v>0</v>
      </c>
      <c r="J143" s="15">
        <f t="shared" si="13"/>
        <v>0.91666666666666663</v>
      </c>
      <c r="K143" s="18">
        <f t="shared" si="14"/>
        <v>1.306392614527086E-4</v>
      </c>
      <c r="L143" s="9" t="str" cm="1">
        <f t="array" ref="L143">_xlfn.IFS(I143&gt;5%,"High Risk",AND(I143&gt;2%,I143&lt;5%),"Modrate Risk",I143&lt;2%, "Low Risk")</f>
        <v>Low Risk</v>
      </c>
      <c r="S143"/>
      <c r="T143"/>
    </row>
    <row r="144" spans="1:20" ht="18" customHeight="1" x14ac:dyDescent="0.25">
      <c r="A144" s="8" t="s">
        <v>146</v>
      </c>
      <c r="B144" s="8">
        <v>52</v>
      </c>
      <c r="C144" s="8">
        <v>0</v>
      </c>
      <c r="D144" s="8">
        <v>39</v>
      </c>
      <c r="E144" s="8">
        <v>13</v>
      </c>
      <c r="F144" s="11">
        <v>104000</v>
      </c>
      <c r="G144" s="8" t="s">
        <v>198</v>
      </c>
      <c r="H144" s="1">
        <v>43901</v>
      </c>
      <c r="I144" s="14">
        <f t="shared" si="12"/>
        <v>0</v>
      </c>
      <c r="J144" s="14">
        <f t="shared" si="13"/>
        <v>0.75</v>
      </c>
      <c r="K144" s="17">
        <f t="shared" si="14"/>
        <v>5.0000000000000001E-4</v>
      </c>
      <c r="L144" s="8" t="str" cm="1">
        <f t="array" ref="L144">_xlfn.IFS(I144&gt;5%,"High Risk",AND(I144&gt;2%,I144&lt;5%),"Modrate Risk",I144&lt;2%, "Low Risk")</f>
        <v>Low Risk</v>
      </c>
      <c r="S144"/>
      <c r="T144"/>
    </row>
    <row r="145" spans="1:20" ht="18" customHeight="1" x14ac:dyDescent="0.25">
      <c r="A145" s="9" t="s">
        <v>147</v>
      </c>
      <c r="B145" s="9">
        <v>699</v>
      </c>
      <c r="C145" s="9">
        <v>42</v>
      </c>
      <c r="D145" s="9">
        <v>657</v>
      </c>
      <c r="E145" s="9">
        <v>0</v>
      </c>
      <c r="F145" s="9">
        <v>33938</v>
      </c>
      <c r="G145" s="9" t="s">
        <v>196</v>
      </c>
      <c r="H145" s="10">
        <v>43888</v>
      </c>
      <c r="I145" s="15">
        <f t="shared" si="12"/>
        <v>6.0085836909871244E-2</v>
      </c>
      <c r="J145" s="15">
        <f t="shared" si="13"/>
        <v>0.93991416309012876</v>
      </c>
      <c r="K145" s="18">
        <f t="shared" si="14"/>
        <v>2.0596381637102954E-2</v>
      </c>
      <c r="L145" s="9" t="str" cm="1">
        <f t="array" ref="L145">_xlfn.IFS(I145&gt;5%,"High Risk",AND(I145&gt;2%,I145&lt;5%),"Modrate Risk",I145&lt;2%, "Low Risk")</f>
        <v>High Risk</v>
      </c>
      <c r="S145"/>
      <c r="T145"/>
    </row>
    <row r="146" spans="1:20" ht="18" customHeight="1" x14ac:dyDescent="0.25">
      <c r="A146" s="8" t="s">
        <v>148</v>
      </c>
      <c r="B146" s="8">
        <v>865</v>
      </c>
      <c r="C146" s="8">
        <v>14</v>
      </c>
      <c r="D146" s="8">
        <v>734</v>
      </c>
      <c r="E146" s="8">
        <v>117</v>
      </c>
      <c r="F146" s="8">
        <v>219544</v>
      </c>
      <c r="G146" s="8" t="s">
        <v>197</v>
      </c>
      <c r="H146" s="1">
        <v>43927</v>
      </c>
      <c r="I146" s="14">
        <f t="shared" si="12"/>
        <v>1.6184971098265895E-2</v>
      </c>
      <c r="J146" s="14">
        <f t="shared" si="13"/>
        <v>0.84855491329479771</v>
      </c>
      <c r="K146" s="17">
        <f t="shared" si="14"/>
        <v>3.9399846955507781E-3</v>
      </c>
      <c r="L146" s="8" t="str" cm="1">
        <f t="array" ref="L146">_xlfn.IFS(I146&gt;5%,"High Risk",AND(I146&gt;2%,I146&lt;5%),"Modrate Risk",I146&lt;2%, "Low Risk")</f>
        <v>Low Risk</v>
      </c>
      <c r="S146"/>
      <c r="T146"/>
    </row>
    <row r="147" spans="1:20" ht="18" customHeight="1" x14ac:dyDescent="0.25">
      <c r="A147" s="9" t="s">
        <v>149</v>
      </c>
      <c r="B147" s="9">
        <v>268934</v>
      </c>
      <c r="C147" s="9">
        <v>2760</v>
      </c>
      <c r="D147" s="9">
        <v>222936</v>
      </c>
      <c r="E147" s="9">
        <v>43238</v>
      </c>
      <c r="F147" s="9">
        <v>34865919</v>
      </c>
      <c r="G147" s="9" t="s">
        <v>195</v>
      </c>
      <c r="H147" s="10">
        <v>43892</v>
      </c>
      <c r="I147" s="15">
        <f t="shared" si="12"/>
        <v>1.0262741044271086E-2</v>
      </c>
      <c r="J147" s="15">
        <f t="shared" si="13"/>
        <v>0.8289617526976879</v>
      </c>
      <c r="K147" s="18">
        <f t="shared" si="14"/>
        <v>7.7133776396371484E-3</v>
      </c>
      <c r="L147" s="9" t="str" cm="1">
        <f t="array" ref="L147">_xlfn.IFS(I147&gt;5%,"High Risk",AND(I147&gt;2%,I147&lt;5%),"Modrate Risk",I147&lt;2%, "Low Risk")</f>
        <v>Low Risk</v>
      </c>
      <c r="S147"/>
      <c r="T147"/>
    </row>
    <row r="148" spans="1:20" ht="18" customHeight="1" x14ac:dyDescent="0.25">
      <c r="A148" s="8" t="s">
        <v>150</v>
      </c>
      <c r="B148" s="8">
        <v>9764</v>
      </c>
      <c r="C148" s="8">
        <v>194</v>
      </c>
      <c r="D148" s="8">
        <v>6477</v>
      </c>
      <c r="E148" s="8">
        <v>3093</v>
      </c>
      <c r="F148" s="8">
        <v>16783877</v>
      </c>
      <c r="G148" s="8" t="s">
        <v>197</v>
      </c>
      <c r="H148" s="1">
        <v>43892</v>
      </c>
      <c r="I148" s="14">
        <f t="shared" si="12"/>
        <v>1.9868906185989348E-2</v>
      </c>
      <c r="J148" s="14">
        <f t="shared" si="13"/>
        <v>0.66335518230233514</v>
      </c>
      <c r="K148" s="17">
        <f t="shared" si="14"/>
        <v>5.8174878188156404E-4</v>
      </c>
      <c r="L148" s="8" t="str" cm="1">
        <f t="array" ref="L148">_xlfn.IFS(I148&gt;5%,"High Risk",AND(I148&gt;2%,I148&lt;5%),"Modrate Risk",I148&lt;2%, "Low Risk")</f>
        <v>Low Risk</v>
      </c>
      <c r="S148"/>
      <c r="T148"/>
    </row>
    <row r="149" spans="1:20" ht="18" customHeight="1" x14ac:dyDescent="0.25">
      <c r="A149" s="9" t="s">
        <v>151</v>
      </c>
      <c r="B149" s="9">
        <v>24141</v>
      </c>
      <c r="C149" s="9">
        <v>543</v>
      </c>
      <c r="D149" s="9">
        <v>0</v>
      </c>
      <c r="E149" s="9">
        <v>23598</v>
      </c>
      <c r="F149" s="9">
        <v>8733665</v>
      </c>
      <c r="G149" s="9" t="s">
        <v>196</v>
      </c>
      <c r="H149" s="10">
        <v>43896</v>
      </c>
      <c r="I149" s="15">
        <f t="shared" si="12"/>
        <v>2.2492854479930408E-2</v>
      </c>
      <c r="J149" s="15">
        <f t="shared" si="13"/>
        <v>0</v>
      </c>
      <c r="K149" s="18">
        <f t="shared" si="14"/>
        <v>2.7641316675187334E-3</v>
      </c>
      <c r="L149" s="9" t="str" cm="1">
        <f t="array" ref="L149">_xlfn.IFS(I149&gt;5%,"High Risk",AND(I149&gt;2%,I149&lt;5%),"Modrate Risk",I149&lt;2%, "Low Risk")</f>
        <v>Modrate Risk</v>
      </c>
      <c r="S149"/>
      <c r="T149"/>
    </row>
    <row r="150" spans="1:20" ht="18" customHeight="1" x14ac:dyDescent="0.25">
      <c r="A150" s="8" t="s">
        <v>152</v>
      </c>
      <c r="B150" s="8">
        <v>114</v>
      </c>
      <c r="C150" s="8">
        <v>0</v>
      </c>
      <c r="D150" s="8">
        <v>39</v>
      </c>
      <c r="E150" s="8">
        <v>75</v>
      </c>
      <c r="F150" s="8">
        <v>98408</v>
      </c>
      <c r="G150" s="8" t="s">
        <v>197</v>
      </c>
      <c r="H150" s="1">
        <v>43904</v>
      </c>
      <c r="I150" s="14">
        <f t="shared" si="12"/>
        <v>0</v>
      </c>
      <c r="J150" s="14">
        <f t="shared" si="13"/>
        <v>0.34210526315789475</v>
      </c>
      <c r="K150" s="17">
        <f t="shared" si="14"/>
        <v>1.158442403056662E-3</v>
      </c>
      <c r="L150" s="8" t="str" cm="1">
        <f t="array" ref="L150">_xlfn.IFS(I150&gt;5%,"High Risk",AND(I150&gt;2%,I150&lt;5%),"Modrate Risk",I150&lt;2%, "Low Risk")</f>
        <v>Low Risk</v>
      </c>
      <c r="S150"/>
      <c r="T150"/>
    </row>
    <row r="151" spans="1:20" ht="18" customHeight="1" x14ac:dyDescent="0.25">
      <c r="A151" s="9" t="s">
        <v>153</v>
      </c>
      <c r="B151" s="9">
        <v>1783</v>
      </c>
      <c r="C151" s="9">
        <v>66</v>
      </c>
      <c r="D151" s="9">
        <v>1317</v>
      </c>
      <c r="E151" s="9">
        <v>400</v>
      </c>
      <c r="F151" s="9">
        <v>7992169</v>
      </c>
      <c r="G151" s="9" t="s">
        <v>197</v>
      </c>
      <c r="H151" s="10">
        <v>43921</v>
      </c>
      <c r="I151" s="15">
        <f t="shared" si="12"/>
        <v>3.7016264722378012E-2</v>
      </c>
      <c r="J151" s="15">
        <f t="shared" si="13"/>
        <v>0.73864273696017946</v>
      </c>
      <c r="K151" s="18">
        <f t="shared" si="14"/>
        <v>2.230933805328691E-4</v>
      </c>
      <c r="L151" s="9" t="str" cm="1">
        <f t="array" ref="L151">_xlfn.IFS(I151&gt;5%,"High Risk",AND(I151&gt;2%,I151&lt;5%),"Modrate Risk",I151&lt;2%, "Low Risk")</f>
        <v>Modrate Risk</v>
      </c>
      <c r="S151"/>
      <c r="T151"/>
    </row>
    <row r="152" spans="1:20" ht="18" customHeight="1" x14ac:dyDescent="0.25">
      <c r="A152" s="8" t="s">
        <v>154</v>
      </c>
      <c r="B152" s="8">
        <v>50838</v>
      </c>
      <c r="C152" s="8">
        <v>27</v>
      </c>
      <c r="D152" s="8">
        <v>45692</v>
      </c>
      <c r="E152" s="8">
        <v>5119</v>
      </c>
      <c r="F152" s="8">
        <v>5854932</v>
      </c>
      <c r="G152" s="8" t="s">
        <v>195</v>
      </c>
      <c r="H152" s="1">
        <v>43853</v>
      </c>
      <c r="I152" s="14">
        <f t="shared" si="12"/>
        <v>5.3109878437389356E-4</v>
      </c>
      <c r="J152" s="14">
        <f t="shared" si="13"/>
        <v>0.89877650576340529</v>
      </c>
      <c r="K152" s="17">
        <f t="shared" si="14"/>
        <v>8.6829360272672688E-3</v>
      </c>
      <c r="L152" s="8" t="str" cm="1">
        <f t="array" ref="L152">_xlfn.IFS(I152&gt;5%,"High Risk",AND(I152&gt;2%,I152&lt;5%),"Modrate Risk",I152&lt;2%, "Low Risk")</f>
        <v>Low Risk</v>
      </c>
      <c r="S152"/>
      <c r="T152"/>
    </row>
    <row r="153" spans="1:20" ht="18" customHeight="1" x14ac:dyDescent="0.25">
      <c r="A153" s="9" t="s">
        <v>155</v>
      </c>
      <c r="B153" s="9">
        <v>2181</v>
      </c>
      <c r="C153" s="9">
        <v>28</v>
      </c>
      <c r="D153" s="9">
        <v>1616</v>
      </c>
      <c r="E153" s="9">
        <v>537</v>
      </c>
      <c r="F153" s="9">
        <v>5459915</v>
      </c>
      <c r="G153" s="9" t="s">
        <v>196</v>
      </c>
      <c r="H153" s="10">
        <v>43896</v>
      </c>
      <c r="I153" s="15">
        <f t="shared" si="12"/>
        <v>1.2838147638697846E-2</v>
      </c>
      <c r="J153" s="15">
        <f t="shared" si="13"/>
        <v>0.74094452086198992</v>
      </c>
      <c r="K153" s="18">
        <f t="shared" si="14"/>
        <v>3.994567680998697E-4</v>
      </c>
      <c r="L153" s="9" t="str" cm="1">
        <f t="array" ref="L153">_xlfn.IFS(I153&gt;5%,"High Risk",AND(I153&gt;2%,I153&lt;5%),"Modrate Risk",I153&lt;2%, "Low Risk")</f>
        <v>Low Risk</v>
      </c>
      <c r="S153"/>
      <c r="T153"/>
    </row>
    <row r="154" spans="1:20" ht="18" customHeight="1" x14ac:dyDescent="0.25">
      <c r="A154" s="8" t="s">
        <v>156</v>
      </c>
      <c r="B154" s="8">
        <v>2087</v>
      </c>
      <c r="C154" s="8">
        <v>116</v>
      </c>
      <c r="D154" s="8">
        <v>1733</v>
      </c>
      <c r="E154" s="8">
        <v>238</v>
      </c>
      <c r="F154" s="8">
        <v>2078968</v>
      </c>
      <c r="G154" s="8" t="s">
        <v>196</v>
      </c>
      <c r="H154" s="1">
        <v>43894</v>
      </c>
      <c r="I154" s="14">
        <f t="shared" si="12"/>
        <v>5.558217537134643E-2</v>
      </c>
      <c r="J154" s="14">
        <f t="shared" si="13"/>
        <v>0.83037853378054627</v>
      </c>
      <c r="K154" s="17">
        <f t="shared" si="14"/>
        <v>1.0038634553297598E-3</v>
      </c>
      <c r="L154" s="8" t="str" cm="1">
        <f t="array" ref="L154">_xlfn.IFS(I154&gt;5%,"High Risk",AND(I154&gt;2%,I154&lt;5%),"Modrate Risk",I154&lt;2%, "Low Risk")</f>
        <v>High Risk</v>
      </c>
      <c r="S154"/>
      <c r="T154"/>
    </row>
    <row r="155" spans="1:20" ht="18" customHeight="1" x14ac:dyDescent="0.25">
      <c r="A155" s="9" t="s">
        <v>157</v>
      </c>
      <c r="B155" s="9">
        <v>3196</v>
      </c>
      <c r="C155" s="9">
        <v>93</v>
      </c>
      <c r="D155" s="9">
        <v>1543</v>
      </c>
      <c r="E155" s="9">
        <v>1560</v>
      </c>
      <c r="F155" s="9">
        <v>15933012</v>
      </c>
      <c r="G155" s="9" t="s">
        <v>197</v>
      </c>
      <c r="H155" s="10">
        <v>43906</v>
      </c>
      <c r="I155" s="15">
        <f t="shared" si="12"/>
        <v>2.9098873591989989E-2</v>
      </c>
      <c r="J155" s="15">
        <f t="shared" si="13"/>
        <v>0.48279098873591991</v>
      </c>
      <c r="K155" s="18">
        <f t="shared" si="14"/>
        <v>2.0058981942648382E-4</v>
      </c>
      <c r="L155" s="9" t="str" cm="1">
        <f t="array" ref="L155">_xlfn.IFS(I155&gt;5%,"High Risk",AND(I155&gt;2%,I155&lt;5%),"Modrate Risk",I155&lt;2%, "Low Risk")</f>
        <v>Modrate Risk</v>
      </c>
      <c r="S155"/>
      <c r="T155"/>
    </row>
    <row r="156" spans="1:20" ht="18" customHeight="1" x14ac:dyDescent="0.25">
      <c r="A156" s="8" t="s">
        <v>158</v>
      </c>
      <c r="B156" s="8">
        <v>452529</v>
      </c>
      <c r="C156" s="8">
        <v>7067</v>
      </c>
      <c r="D156" s="8">
        <v>274925</v>
      </c>
      <c r="E156" s="8">
        <v>170537</v>
      </c>
      <c r="F156" s="8">
        <v>59381566</v>
      </c>
      <c r="G156" s="8" t="s">
        <v>197</v>
      </c>
      <c r="H156" s="1">
        <v>43895</v>
      </c>
      <c r="I156" s="14">
        <f t="shared" si="12"/>
        <v>1.5616678710093718E-2</v>
      </c>
      <c r="J156" s="14">
        <f t="shared" si="13"/>
        <v>0.60753012514115112</v>
      </c>
      <c r="K156" s="17">
        <f t="shared" si="14"/>
        <v>7.6206983157028904E-3</v>
      </c>
      <c r="L156" s="8" t="str" cm="1">
        <f t="array" ref="L156">_xlfn.IFS(I156&gt;5%,"High Risk",AND(I156&gt;2%,I156&lt;5%),"Modrate Risk",I156&lt;2%, "Low Risk")</f>
        <v>Low Risk</v>
      </c>
      <c r="S156"/>
      <c r="T156"/>
    </row>
    <row r="157" spans="1:20" ht="18" customHeight="1" x14ac:dyDescent="0.25">
      <c r="A157" s="9" t="s">
        <v>159</v>
      </c>
      <c r="B157" s="9">
        <v>14203</v>
      </c>
      <c r="C157" s="9">
        <v>300</v>
      </c>
      <c r="D157" s="9">
        <v>13007</v>
      </c>
      <c r="E157" s="9">
        <v>896</v>
      </c>
      <c r="F157" s="9">
        <v>51273732</v>
      </c>
      <c r="G157" s="9" t="s">
        <v>195</v>
      </c>
      <c r="H157" s="10">
        <v>43850</v>
      </c>
      <c r="I157" s="15">
        <f t="shared" si="12"/>
        <v>2.1122298106033936E-2</v>
      </c>
      <c r="J157" s="15">
        <f t="shared" si="13"/>
        <v>0.91579243821727807</v>
      </c>
      <c r="K157" s="18">
        <f t="shared" si="14"/>
        <v>2.7700343715959667E-4</v>
      </c>
      <c r="L157" s="9" t="str" cm="1">
        <f t="array" ref="L157">_xlfn.IFS(I157&gt;5%,"High Risk",AND(I157&gt;2%,I157&lt;5%),"Modrate Risk",I157&lt;2%, "Low Risk")</f>
        <v>Modrate Risk</v>
      </c>
      <c r="S157"/>
      <c r="T157"/>
    </row>
    <row r="158" spans="1:20" ht="18" customHeight="1" x14ac:dyDescent="0.25">
      <c r="A158" s="8" t="s">
        <v>160</v>
      </c>
      <c r="B158" s="8">
        <v>2305</v>
      </c>
      <c r="C158" s="8">
        <v>46</v>
      </c>
      <c r="D158" s="8">
        <v>1175</v>
      </c>
      <c r="E158" s="8">
        <v>1084</v>
      </c>
      <c r="F158" s="8">
        <v>11206572</v>
      </c>
      <c r="G158" s="8" t="s">
        <v>197</v>
      </c>
      <c r="H158" s="1">
        <v>43926</v>
      </c>
      <c r="I158" s="14">
        <f t="shared" si="12"/>
        <v>1.9956616052060738E-2</v>
      </c>
      <c r="J158" s="14">
        <f t="shared" si="13"/>
        <v>0.50976138828633411</v>
      </c>
      <c r="K158" s="17">
        <f t="shared" si="14"/>
        <v>2.0568287965311784E-4</v>
      </c>
      <c r="L158" s="8" t="str" cm="1">
        <f t="array" ref="L158">_xlfn.IFS(I158&gt;5%,"High Risk",AND(I158&gt;2%,I158&lt;5%),"Modrate Risk",I158&lt;2%, "Low Risk")</f>
        <v>Low Risk</v>
      </c>
      <c r="S158"/>
      <c r="T158"/>
    </row>
    <row r="159" spans="1:20" ht="18" customHeight="1" x14ac:dyDescent="0.25">
      <c r="A159" s="9" t="s">
        <v>161</v>
      </c>
      <c r="B159" s="9">
        <v>272421</v>
      </c>
      <c r="C159" s="9">
        <v>28432</v>
      </c>
      <c r="D159" s="9">
        <v>150376</v>
      </c>
      <c r="E159" s="9">
        <v>93613</v>
      </c>
      <c r="F159" s="9">
        <v>46756648</v>
      </c>
      <c r="G159" s="9" t="s">
        <v>196</v>
      </c>
      <c r="H159" s="10">
        <v>43861</v>
      </c>
      <c r="I159" s="15">
        <f t="shared" si="12"/>
        <v>0.10436787178668311</v>
      </c>
      <c r="J159" s="15">
        <f t="shared" si="13"/>
        <v>0.55199856105072664</v>
      </c>
      <c r="K159" s="18">
        <f t="shared" si="14"/>
        <v>5.8263586388827534E-3</v>
      </c>
      <c r="L159" s="9" t="str" cm="1">
        <f t="array" ref="L159">_xlfn.IFS(I159&gt;5%,"High Risk",AND(I159&gt;2%,I159&lt;5%),"Modrate Risk",I159&lt;2%, "Low Risk")</f>
        <v>High Risk</v>
      </c>
      <c r="S159"/>
      <c r="T159"/>
    </row>
    <row r="160" spans="1:20" ht="18" customHeight="1" x14ac:dyDescent="0.25">
      <c r="A160" s="8" t="s">
        <v>162</v>
      </c>
      <c r="B160" s="8">
        <v>2805</v>
      </c>
      <c r="C160" s="8">
        <v>11</v>
      </c>
      <c r="D160" s="8">
        <v>2121</v>
      </c>
      <c r="E160" s="8">
        <v>673</v>
      </c>
      <c r="F160" s="8">
        <v>21422362</v>
      </c>
      <c r="G160" s="8" t="s">
        <v>195</v>
      </c>
      <c r="H160" s="1">
        <v>43857</v>
      </c>
      <c r="I160" s="14">
        <f t="shared" si="12"/>
        <v>3.9215686274509803E-3</v>
      </c>
      <c r="J160" s="14">
        <f t="shared" si="13"/>
        <v>0.75614973262032081</v>
      </c>
      <c r="K160" s="17">
        <f t="shared" si="14"/>
        <v>1.3093794232400704E-4</v>
      </c>
      <c r="L160" s="8" t="str" cm="1">
        <f t="array" ref="L160">_xlfn.IFS(I160&gt;5%,"High Risk",AND(I160&gt;2%,I160&lt;5%),"Modrate Risk",I160&lt;2%, "Low Risk")</f>
        <v>Low Risk</v>
      </c>
      <c r="S160"/>
      <c r="T160"/>
    </row>
    <row r="161" spans="1:20" ht="18" customHeight="1" x14ac:dyDescent="0.25">
      <c r="A161" s="9" t="s">
        <v>163</v>
      </c>
      <c r="B161" s="9">
        <v>11424</v>
      </c>
      <c r="C161" s="9">
        <v>720</v>
      </c>
      <c r="D161" s="9">
        <v>5939</v>
      </c>
      <c r="E161" s="9">
        <v>4765</v>
      </c>
      <c r="F161" s="9">
        <v>43943536</v>
      </c>
      <c r="G161" s="9" t="s">
        <v>197</v>
      </c>
      <c r="H161" s="10">
        <v>43903</v>
      </c>
      <c r="I161" s="15">
        <f t="shared" si="12"/>
        <v>6.3025210084033612E-2</v>
      </c>
      <c r="J161" s="15">
        <f t="shared" si="13"/>
        <v>0.51987044817927175</v>
      </c>
      <c r="K161" s="18">
        <f t="shared" si="14"/>
        <v>2.5996997601649536E-4</v>
      </c>
      <c r="L161" s="9" t="str" cm="1">
        <f t="array" ref="L161">_xlfn.IFS(I161&gt;5%,"High Risk",AND(I161&gt;2%,I161&lt;5%),"Modrate Risk",I161&lt;2%, "Low Risk")</f>
        <v>High Risk</v>
      </c>
      <c r="S161"/>
      <c r="T161"/>
    </row>
    <row r="162" spans="1:20" ht="18" customHeight="1" x14ac:dyDescent="0.25">
      <c r="A162" s="8" t="s">
        <v>164</v>
      </c>
      <c r="B162" s="8">
        <v>1483</v>
      </c>
      <c r="C162" s="8">
        <v>24</v>
      </c>
      <c r="D162" s="8">
        <v>925</v>
      </c>
      <c r="E162" s="8">
        <v>534</v>
      </c>
      <c r="F162" s="8">
        <v>587154</v>
      </c>
      <c r="G162" s="8" t="s">
        <v>199</v>
      </c>
      <c r="H162" s="1">
        <v>43903</v>
      </c>
      <c r="I162" s="14">
        <f t="shared" ref="I162:I188" si="15">C162/B162</f>
        <v>1.6183412002697236E-2</v>
      </c>
      <c r="J162" s="14">
        <f t="shared" ref="J162:J188" si="16">D162/B162</f>
        <v>0.62373567093728932</v>
      </c>
      <c r="K162" s="17">
        <f t="shared" ref="K162:K188" si="17">B162/F162</f>
        <v>2.5257428204525558E-3</v>
      </c>
      <c r="L162" s="8" t="str" cm="1">
        <f t="array" ref="L162">_xlfn.IFS(I162&gt;5%,"High Risk",AND(I162&gt;2%,I162&lt;5%),"Modrate Risk",I162&lt;2%, "Low Risk")</f>
        <v>Low Risk</v>
      </c>
      <c r="S162"/>
      <c r="T162"/>
    </row>
    <row r="163" spans="1:20" ht="18" customHeight="1" x14ac:dyDescent="0.25">
      <c r="A163" s="9" t="s">
        <v>165</v>
      </c>
      <c r="B163" s="9">
        <v>79395</v>
      </c>
      <c r="C163" s="9">
        <v>5700</v>
      </c>
      <c r="D163" s="9">
        <v>0</v>
      </c>
      <c r="E163" s="9">
        <v>73695</v>
      </c>
      <c r="F163" s="9">
        <v>10105596</v>
      </c>
      <c r="G163" s="9" t="s">
        <v>196</v>
      </c>
      <c r="H163" s="10">
        <v>43861</v>
      </c>
      <c r="I163" s="15">
        <f t="shared" si="15"/>
        <v>7.1792934063857922E-2</v>
      </c>
      <c r="J163" s="15">
        <f t="shared" si="16"/>
        <v>0</v>
      </c>
      <c r="K163" s="18">
        <f t="shared" si="17"/>
        <v>7.8565381002763217E-3</v>
      </c>
      <c r="L163" s="9" t="str" cm="1">
        <f t="array" ref="L163">_xlfn.IFS(I163&gt;5%,"High Risk",AND(I163&gt;2%,I163&lt;5%),"Modrate Risk",I163&lt;2%, "Low Risk")</f>
        <v>High Risk</v>
      </c>
      <c r="S163"/>
      <c r="T163"/>
    </row>
    <row r="164" spans="1:20" ht="18" customHeight="1" x14ac:dyDescent="0.25">
      <c r="A164" s="8" t="s">
        <v>166</v>
      </c>
      <c r="B164" s="8">
        <v>34477</v>
      </c>
      <c r="C164" s="8">
        <v>1978</v>
      </c>
      <c r="D164" s="8">
        <v>30900</v>
      </c>
      <c r="E164" s="8">
        <v>1599</v>
      </c>
      <c r="F164" s="8">
        <v>8660952</v>
      </c>
      <c r="G164" s="8" t="s">
        <v>196</v>
      </c>
      <c r="H164" s="1">
        <v>43886</v>
      </c>
      <c r="I164" s="14">
        <f t="shared" si="15"/>
        <v>5.7371581054036024E-2</v>
      </c>
      <c r="J164" s="14">
        <f t="shared" si="16"/>
        <v>0.89624967369550712</v>
      </c>
      <c r="K164" s="17">
        <f t="shared" si="17"/>
        <v>3.9807402234765879E-3</v>
      </c>
      <c r="L164" s="8" t="str" cm="1">
        <f t="array" ref="L164">_xlfn.IFS(I164&gt;5%,"High Risk",AND(I164&gt;2%,I164&lt;5%),"Modrate Risk",I164&lt;2%, "Low Risk")</f>
        <v>High Risk</v>
      </c>
      <c r="S164"/>
      <c r="T164"/>
    </row>
    <row r="165" spans="1:20" ht="18" customHeight="1" x14ac:dyDescent="0.25">
      <c r="A165" s="9" t="s">
        <v>167</v>
      </c>
      <c r="B165" s="9">
        <v>674</v>
      </c>
      <c r="C165" s="9">
        <v>40</v>
      </c>
      <c r="D165" s="9">
        <v>0</v>
      </c>
      <c r="E165" s="9">
        <v>634</v>
      </c>
      <c r="F165" s="9">
        <v>17539600</v>
      </c>
      <c r="G165" s="9" t="s">
        <v>195</v>
      </c>
      <c r="H165" s="10">
        <v>43912</v>
      </c>
      <c r="I165" s="15">
        <f t="shared" si="15"/>
        <v>5.9347181008902079E-2</v>
      </c>
      <c r="J165" s="15">
        <f t="shared" si="16"/>
        <v>0</v>
      </c>
      <c r="K165" s="18">
        <f t="shared" si="17"/>
        <v>3.8427330155761816E-5</v>
      </c>
      <c r="L165" s="9" t="str" cm="1">
        <f t="array" ref="L165">_xlfn.IFS(I165&gt;5%,"High Risk",AND(I165&gt;2%,I165&lt;5%),"Modrate Risk",I165&lt;2%, "Low Risk")</f>
        <v>High Risk</v>
      </c>
      <c r="S165"/>
      <c r="T165"/>
    </row>
    <row r="166" spans="1:20" ht="18" customHeight="1" x14ac:dyDescent="0.25">
      <c r="A166" s="8" t="s">
        <v>190</v>
      </c>
      <c r="B166" s="8">
        <v>462</v>
      </c>
      <c r="C166" s="8">
        <v>7</v>
      </c>
      <c r="D166" s="8">
        <v>440</v>
      </c>
      <c r="E166" s="8">
        <v>15</v>
      </c>
      <c r="F166" s="8">
        <v>23821199</v>
      </c>
      <c r="G166" s="8" t="s">
        <v>195</v>
      </c>
      <c r="H166" s="1">
        <v>43851</v>
      </c>
      <c r="I166" s="14">
        <f t="shared" si="15"/>
        <v>1.5151515151515152E-2</v>
      </c>
      <c r="J166" s="14">
        <f t="shared" si="16"/>
        <v>0.95238095238095233</v>
      </c>
      <c r="K166" s="17">
        <f t="shared" si="17"/>
        <v>1.9394489756791838E-5</v>
      </c>
      <c r="L166" s="8" t="str" cm="1">
        <f t="array" ref="L166">_xlfn.IFS(I166&gt;5%,"High Risk",AND(I166&gt;2%,I166&lt;5%),"Modrate Risk",I166&lt;2%, "Low Risk")</f>
        <v>Low Risk</v>
      </c>
      <c r="S166"/>
      <c r="T166"/>
    </row>
    <row r="167" spans="1:20" ht="18" customHeight="1" x14ac:dyDescent="0.25">
      <c r="A167" s="9" t="s">
        <v>168</v>
      </c>
      <c r="B167" s="9">
        <v>7235</v>
      </c>
      <c r="C167" s="9">
        <v>60</v>
      </c>
      <c r="D167" s="9">
        <v>6028</v>
      </c>
      <c r="E167" s="9">
        <v>1147</v>
      </c>
      <c r="F167" s="9">
        <v>9557468</v>
      </c>
      <c r="G167" s="9" t="s">
        <v>195</v>
      </c>
      <c r="H167" s="10">
        <v>43951</v>
      </c>
      <c r="I167" s="15">
        <f t="shared" si="15"/>
        <v>8.2930200414651004E-3</v>
      </c>
      <c r="J167" s="15">
        <f t="shared" si="16"/>
        <v>0.83317208016586042</v>
      </c>
      <c r="K167" s="18">
        <f t="shared" si="17"/>
        <v>7.569996572313922E-4</v>
      </c>
      <c r="L167" s="9" t="str" cm="1">
        <f t="array" ref="L167">_xlfn.IFS(I167&gt;5%,"High Risk",AND(I167&gt;2%,I167&lt;5%),"Modrate Risk",I167&lt;2%, "Low Risk")</f>
        <v>Low Risk</v>
      </c>
      <c r="S167"/>
      <c r="T167"/>
    </row>
    <row r="168" spans="1:20" ht="18" customHeight="1" x14ac:dyDescent="0.25">
      <c r="A168" s="8" t="s">
        <v>169</v>
      </c>
      <c r="B168" s="8">
        <v>509</v>
      </c>
      <c r="C168" s="8">
        <v>21</v>
      </c>
      <c r="D168" s="8">
        <v>183</v>
      </c>
      <c r="E168" s="8">
        <v>305</v>
      </c>
      <c r="F168" s="8">
        <v>59886383</v>
      </c>
      <c r="G168" s="8" t="s">
        <v>197</v>
      </c>
      <c r="H168" s="1">
        <v>43906</v>
      </c>
      <c r="I168" s="14">
        <f t="shared" si="15"/>
        <v>4.1257367387033402E-2</v>
      </c>
      <c r="J168" s="14">
        <f t="shared" si="16"/>
        <v>0.35952848722986247</v>
      </c>
      <c r="K168" s="17">
        <f t="shared" si="17"/>
        <v>8.4994279918358071E-6</v>
      </c>
      <c r="L168" s="8" t="str" cm="1">
        <f t="array" ref="L168">_xlfn.IFS(I168&gt;5%,"High Risk",AND(I168&gt;2%,I168&lt;5%),"Modrate Risk",I168&lt;2%, "Low Risk")</f>
        <v>Modrate Risk</v>
      </c>
      <c r="S168"/>
      <c r="T168"/>
    </row>
    <row r="169" spans="1:20" ht="18" customHeight="1" x14ac:dyDescent="0.25">
      <c r="A169" s="9" t="s">
        <v>170</v>
      </c>
      <c r="B169" s="9">
        <v>3297</v>
      </c>
      <c r="C169" s="9">
        <v>58</v>
      </c>
      <c r="D169" s="9">
        <v>3111</v>
      </c>
      <c r="E169" s="9">
        <v>128</v>
      </c>
      <c r="F169" s="9">
        <v>69817894</v>
      </c>
      <c r="G169" s="9" t="s">
        <v>195</v>
      </c>
      <c r="H169" s="10">
        <v>43843</v>
      </c>
      <c r="I169" s="15">
        <f t="shared" si="15"/>
        <v>1.7591750075826508E-2</v>
      </c>
      <c r="J169" s="15">
        <f t="shared" si="16"/>
        <v>0.94358507734303909</v>
      </c>
      <c r="K169" s="18">
        <f t="shared" si="17"/>
        <v>4.7222850921283877E-5</v>
      </c>
      <c r="L169" s="9" t="str" cm="1">
        <f t="array" ref="L169">_xlfn.IFS(I169&gt;5%,"High Risk",AND(I169&gt;2%,I169&lt;5%),"Modrate Risk",I169&lt;2%, "Low Risk")</f>
        <v>Low Risk</v>
      </c>
      <c r="S169"/>
      <c r="T169"/>
    </row>
    <row r="170" spans="1:20" ht="18" customHeight="1" x14ac:dyDescent="0.25">
      <c r="A170" s="8" t="s">
        <v>171</v>
      </c>
      <c r="B170" s="8">
        <v>24</v>
      </c>
      <c r="C170" s="8">
        <v>0</v>
      </c>
      <c r="D170" s="8">
        <v>0</v>
      </c>
      <c r="E170" s="8">
        <v>24</v>
      </c>
      <c r="F170" s="8">
        <v>1320812</v>
      </c>
      <c r="G170" s="8" t="s">
        <v>195</v>
      </c>
      <c r="H170" s="1">
        <v>43911</v>
      </c>
      <c r="I170" s="14">
        <f t="shared" si="15"/>
        <v>0</v>
      </c>
      <c r="J170" s="14">
        <f t="shared" si="16"/>
        <v>0</v>
      </c>
      <c r="K170" s="17">
        <f t="shared" si="17"/>
        <v>1.8170640484792688E-5</v>
      </c>
      <c r="L170" s="8" t="str" cm="1">
        <f t="array" ref="L170">_xlfn.IFS(I170&gt;5%,"High Risk",AND(I170&gt;2%,I170&lt;5%),"Modrate Risk",I170&lt;2%, "Low Risk")</f>
        <v>Low Risk</v>
      </c>
      <c r="S170"/>
      <c r="T170"/>
    </row>
    <row r="171" spans="1:20" ht="18" customHeight="1" x14ac:dyDescent="0.25">
      <c r="A171" s="9" t="s">
        <v>172</v>
      </c>
      <c r="B171" s="9">
        <v>874</v>
      </c>
      <c r="C171" s="9">
        <v>18</v>
      </c>
      <c r="D171" s="9">
        <v>607</v>
      </c>
      <c r="E171" s="9">
        <v>249</v>
      </c>
      <c r="F171" s="9">
        <v>8296582</v>
      </c>
      <c r="G171" s="9" t="s">
        <v>197</v>
      </c>
      <c r="H171" s="10">
        <v>43896</v>
      </c>
      <c r="I171" s="15">
        <f t="shared" si="15"/>
        <v>2.0594965675057208E-2</v>
      </c>
      <c r="J171" s="15">
        <f t="shared" si="16"/>
        <v>0.69450800915331812</v>
      </c>
      <c r="K171" s="18">
        <f t="shared" si="17"/>
        <v>1.0534458648151732E-4</v>
      </c>
      <c r="L171" s="9" t="str" cm="1">
        <f t="array" ref="L171">_xlfn.IFS(I171&gt;5%,"High Risk",AND(I171&gt;2%,I171&lt;5%),"Modrate Risk",I171&lt;2%, "Low Risk")</f>
        <v>Modrate Risk</v>
      </c>
      <c r="S171"/>
      <c r="T171"/>
    </row>
    <row r="172" spans="1:20" ht="18" customHeight="1" x14ac:dyDescent="0.25">
      <c r="A172" s="8" t="s">
        <v>173</v>
      </c>
      <c r="B172" s="8">
        <v>148</v>
      </c>
      <c r="C172" s="8">
        <v>8</v>
      </c>
      <c r="D172" s="8">
        <v>128</v>
      </c>
      <c r="E172" s="8">
        <v>12</v>
      </c>
      <c r="F172" s="8">
        <v>1399950</v>
      </c>
      <c r="G172" s="8" t="s">
        <v>198</v>
      </c>
      <c r="H172" s="1">
        <v>43902</v>
      </c>
      <c r="I172" s="14">
        <f t="shared" si="15"/>
        <v>5.4054054054054057E-2</v>
      </c>
      <c r="J172" s="14">
        <f t="shared" si="16"/>
        <v>0.86486486486486491</v>
      </c>
      <c r="K172" s="17">
        <f t="shared" si="17"/>
        <v>1.0571806135933426E-4</v>
      </c>
      <c r="L172" s="8" t="str" cm="1">
        <f t="array" ref="L172">_xlfn.IFS(I172&gt;5%,"High Risk",AND(I172&gt;2%,I172&lt;5%),"Modrate Risk",I172&lt;2%, "Low Risk")</f>
        <v>High Risk</v>
      </c>
      <c r="S172"/>
      <c r="T172"/>
    </row>
    <row r="173" spans="1:20" ht="18" customHeight="1" x14ac:dyDescent="0.25">
      <c r="A173" s="9" t="s">
        <v>174</v>
      </c>
      <c r="B173" s="9">
        <v>1455</v>
      </c>
      <c r="C173" s="9">
        <v>50</v>
      </c>
      <c r="D173" s="9">
        <v>1157</v>
      </c>
      <c r="E173" s="9">
        <v>248</v>
      </c>
      <c r="F173" s="9">
        <v>11830801</v>
      </c>
      <c r="G173" s="9" t="s">
        <v>197</v>
      </c>
      <c r="H173" s="10">
        <v>43892</v>
      </c>
      <c r="I173" s="15">
        <f t="shared" si="15"/>
        <v>3.4364261168384883E-2</v>
      </c>
      <c r="J173" s="15">
        <f t="shared" si="16"/>
        <v>0.79518900343642607</v>
      </c>
      <c r="K173" s="18">
        <f t="shared" si="17"/>
        <v>1.2298406506879795E-4</v>
      </c>
      <c r="L173" s="9" t="str" cm="1">
        <f t="array" ref="L173">_xlfn.IFS(I173&gt;5%,"High Risk",AND(I173&gt;2%,I173&lt;5%),"Modrate Risk",I173&lt;2%, "Low Risk")</f>
        <v>Modrate Risk</v>
      </c>
      <c r="S173"/>
      <c r="T173"/>
    </row>
    <row r="174" spans="1:20" ht="18" customHeight="1" x14ac:dyDescent="0.25">
      <c r="A174" s="8" t="s">
        <v>175</v>
      </c>
      <c r="B174" s="8">
        <v>227019</v>
      </c>
      <c r="C174" s="8">
        <v>5630</v>
      </c>
      <c r="D174" s="8">
        <v>210469</v>
      </c>
      <c r="E174" s="8">
        <v>10920</v>
      </c>
      <c r="F174" s="8">
        <v>84428331</v>
      </c>
      <c r="G174" s="8" t="s">
        <v>195</v>
      </c>
      <c r="H174" s="1">
        <v>43901</v>
      </c>
      <c r="I174" s="14">
        <f t="shared" si="15"/>
        <v>2.4799686369863315E-2</v>
      </c>
      <c r="J174" s="14">
        <f t="shared" si="16"/>
        <v>0.92709861289143203</v>
      </c>
      <c r="K174" s="17">
        <f t="shared" si="17"/>
        <v>2.6888959820844972E-3</v>
      </c>
      <c r="L174" s="8" t="str" cm="1">
        <f t="array" ref="L174">_xlfn.IFS(I174&gt;5%,"High Risk",AND(I174&gt;2%,I174&lt;5%),"Modrate Risk",I174&lt;2%, "Low Risk")</f>
        <v>Modrate Risk</v>
      </c>
      <c r="S174"/>
      <c r="T174"/>
    </row>
    <row r="175" spans="1:20" ht="18" customHeight="1" x14ac:dyDescent="0.25">
      <c r="A175" s="9" t="s">
        <v>176</v>
      </c>
      <c r="B175" s="9">
        <v>4290259</v>
      </c>
      <c r="C175" s="9">
        <v>148011</v>
      </c>
      <c r="D175" s="9">
        <v>1325804</v>
      </c>
      <c r="E175" s="9">
        <v>2816444</v>
      </c>
      <c r="F175" s="9">
        <v>331198130</v>
      </c>
      <c r="G175" s="9" t="s">
        <v>198</v>
      </c>
      <c r="H175" s="10">
        <v>43851</v>
      </c>
      <c r="I175" s="15">
        <f t="shared" si="15"/>
        <v>3.4499315775574385E-2</v>
      </c>
      <c r="J175" s="15">
        <f t="shared" si="16"/>
        <v>0.30902656459668287</v>
      </c>
      <c r="K175" s="18">
        <f t="shared" si="17"/>
        <v>1.2953753694201112E-2</v>
      </c>
      <c r="L175" s="9" t="str" cm="1">
        <f t="array" ref="L175">_xlfn.IFS(I175&gt;5%,"High Risk",AND(I175&gt;2%,I175&lt;5%),"Modrate Risk",I175&lt;2%, "Low Risk")</f>
        <v>Modrate Risk</v>
      </c>
      <c r="S175"/>
      <c r="T175"/>
    </row>
    <row r="176" spans="1:20" ht="18" customHeight="1" x14ac:dyDescent="0.25">
      <c r="A176" s="8" t="s">
        <v>177</v>
      </c>
      <c r="B176" s="8">
        <v>1128</v>
      </c>
      <c r="C176" s="8">
        <v>2</v>
      </c>
      <c r="D176" s="8">
        <v>986</v>
      </c>
      <c r="E176" s="8">
        <v>140</v>
      </c>
      <c r="F176" s="8">
        <v>45867852</v>
      </c>
      <c r="G176" s="8" t="s">
        <v>197</v>
      </c>
      <c r="H176" s="1">
        <v>43912</v>
      </c>
      <c r="I176" s="14">
        <f t="shared" si="15"/>
        <v>1.7730496453900709E-3</v>
      </c>
      <c r="J176" s="14">
        <f t="shared" si="16"/>
        <v>0.87411347517730498</v>
      </c>
      <c r="K176" s="17">
        <f t="shared" si="17"/>
        <v>2.4592387714166339E-5</v>
      </c>
      <c r="L176" s="8" t="str" cm="1">
        <f t="array" ref="L176">_xlfn.IFS(I176&gt;5%,"High Risk",AND(I176&gt;2%,I176&lt;5%),"Modrate Risk",I176&lt;2%, "Low Risk")</f>
        <v>Low Risk</v>
      </c>
      <c r="S176"/>
      <c r="T176"/>
    </row>
    <row r="177" spans="1:20" ht="18" customHeight="1" x14ac:dyDescent="0.25">
      <c r="A177" s="9" t="s">
        <v>178</v>
      </c>
      <c r="B177" s="9">
        <v>67096</v>
      </c>
      <c r="C177" s="9">
        <v>1636</v>
      </c>
      <c r="D177" s="9">
        <v>37202</v>
      </c>
      <c r="E177" s="9">
        <v>28258</v>
      </c>
      <c r="F177" s="9">
        <v>43705858</v>
      </c>
      <c r="G177" s="9" t="s">
        <v>196</v>
      </c>
      <c r="H177" s="10">
        <v>43893</v>
      </c>
      <c r="I177" s="15">
        <f t="shared" si="15"/>
        <v>2.4382973649695959E-2</v>
      </c>
      <c r="J177" s="15">
        <f t="shared" si="16"/>
        <v>0.55445928222248719</v>
      </c>
      <c r="K177" s="18">
        <f t="shared" si="17"/>
        <v>1.5351717840661086E-3</v>
      </c>
      <c r="L177" s="9" t="str" cm="1">
        <f t="array" ref="L177">_xlfn.IFS(I177&gt;5%,"High Risk",AND(I177&gt;2%,I177&lt;5%),"Modrate Risk",I177&lt;2%, "Low Risk")</f>
        <v>Modrate Risk</v>
      </c>
      <c r="S177"/>
      <c r="T177"/>
    </row>
    <row r="178" spans="1:20" ht="18" customHeight="1" x14ac:dyDescent="0.25">
      <c r="A178" s="8" t="s">
        <v>179</v>
      </c>
      <c r="B178" s="8">
        <v>59177</v>
      </c>
      <c r="C178" s="8">
        <v>345</v>
      </c>
      <c r="D178" s="8">
        <v>52510</v>
      </c>
      <c r="E178" s="8">
        <v>6322</v>
      </c>
      <c r="F178" s="8">
        <v>9902079</v>
      </c>
      <c r="G178" s="8" t="s">
        <v>195</v>
      </c>
      <c r="H178" s="1">
        <v>43859</v>
      </c>
      <c r="I178" s="14">
        <f t="shared" si="15"/>
        <v>5.8299677239468037E-3</v>
      </c>
      <c r="J178" s="14">
        <f t="shared" si="16"/>
        <v>0.88733798604187442</v>
      </c>
      <c r="K178" s="17">
        <f t="shared" si="17"/>
        <v>5.9762197413290681E-3</v>
      </c>
      <c r="L178" s="8" t="str" cm="1">
        <f t="array" ref="L178">_xlfn.IFS(I178&gt;5%,"High Risk",AND(I178&gt;2%,I178&lt;5%),"Modrate Risk",I178&lt;2%, "Low Risk")</f>
        <v>Low Risk</v>
      </c>
      <c r="S178"/>
      <c r="T178"/>
    </row>
    <row r="179" spans="1:20" ht="18" customHeight="1" x14ac:dyDescent="0.25">
      <c r="A179" s="9" t="s">
        <v>180</v>
      </c>
      <c r="B179" s="9">
        <v>301708</v>
      </c>
      <c r="C179" s="9">
        <v>45844</v>
      </c>
      <c r="D179" s="9">
        <v>1437</v>
      </c>
      <c r="E179" s="9">
        <v>254427</v>
      </c>
      <c r="F179" s="9">
        <v>67922029</v>
      </c>
      <c r="G179" s="9" t="s">
        <v>196</v>
      </c>
      <c r="H179" s="10">
        <v>43861</v>
      </c>
      <c r="I179" s="15">
        <f t="shared" si="15"/>
        <v>0.15194824134593712</v>
      </c>
      <c r="J179" s="15">
        <f t="shared" si="16"/>
        <v>4.7628833176448756E-3</v>
      </c>
      <c r="K179" s="18">
        <f t="shared" si="17"/>
        <v>4.4419756659507328E-3</v>
      </c>
      <c r="L179" s="9" t="str" cm="1">
        <f t="array" ref="L179">_xlfn.IFS(I179&gt;5%,"High Risk",AND(I179&gt;2%,I179&lt;5%),"Modrate Risk",I179&lt;2%, "Low Risk")</f>
        <v>High Risk</v>
      </c>
      <c r="S179"/>
      <c r="T179"/>
    </row>
    <row r="180" spans="1:20" ht="18" customHeight="1" x14ac:dyDescent="0.25">
      <c r="A180" s="8" t="s">
        <v>181</v>
      </c>
      <c r="B180" s="8">
        <v>1202</v>
      </c>
      <c r="C180" s="8">
        <v>35</v>
      </c>
      <c r="D180" s="8">
        <v>951</v>
      </c>
      <c r="E180" s="8">
        <v>216</v>
      </c>
      <c r="F180" s="8">
        <v>3474956</v>
      </c>
      <c r="G180" s="8" t="s">
        <v>199</v>
      </c>
      <c r="H180" s="1">
        <v>43903</v>
      </c>
      <c r="I180" s="14">
        <f t="shared" si="15"/>
        <v>2.9118136439267885E-2</v>
      </c>
      <c r="J180" s="14">
        <f t="shared" si="16"/>
        <v>0.79118136439267883</v>
      </c>
      <c r="K180" s="17">
        <f t="shared" si="17"/>
        <v>3.4590366036289381E-4</v>
      </c>
      <c r="L180" s="8" t="str" cm="1">
        <f t="array" ref="L180">_xlfn.IFS(I180&gt;5%,"High Risk",AND(I180&gt;2%,I180&lt;5%),"Modrate Risk",I180&lt;2%, "Low Risk")</f>
        <v>Modrate Risk</v>
      </c>
      <c r="S180"/>
      <c r="T180"/>
    </row>
    <row r="181" spans="1:20" ht="18" customHeight="1" x14ac:dyDescent="0.25">
      <c r="A181" s="9" t="s">
        <v>182</v>
      </c>
      <c r="B181" s="9">
        <v>21209</v>
      </c>
      <c r="C181" s="9">
        <v>121</v>
      </c>
      <c r="D181" s="9">
        <v>11674</v>
      </c>
      <c r="E181" s="9">
        <v>9414</v>
      </c>
      <c r="F181" s="9">
        <v>33516027</v>
      </c>
      <c r="G181" s="9" t="s">
        <v>195</v>
      </c>
      <c r="H181" s="10">
        <v>43905</v>
      </c>
      <c r="I181" s="15">
        <f t="shared" si="15"/>
        <v>5.7051251827054551E-3</v>
      </c>
      <c r="J181" s="15">
        <f t="shared" si="16"/>
        <v>0.55042670564383045</v>
      </c>
      <c r="K181" s="18">
        <f t="shared" si="17"/>
        <v>6.3280173392866643E-4</v>
      </c>
      <c r="L181" s="9" t="str" cm="1">
        <f t="array" ref="L181">_xlfn.IFS(I181&gt;5%,"High Risk",AND(I181&gt;2%,I181&lt;5%),"Modrate Risk",I181&lt;2%, "Low Risk")</f>
        <v>Low Risk</v>
      </c>
      <c r="S181"/>
      <c r="T181"/>
    </row>
    <row r="182" spans="1:20" ht="18" customHeight="1" x14ac:dyDescent="0.25">
      <c r="A182" s="8" t="s">
        <v>183</v>
      </c>
      <c r="B182" s="8">
        <v>15988</v>
      </c>
      <c r="C182" s="8">
        <v>146</v>
      </c>
      <c r="D182" s="8">
        <v>9959</v>
      </c>
      <c r="E182" s="8">
        <v>5883</v>
      </c>
      <c r="F182" s="8">
        <v>28427499</v>
      </c>
      <c r="G182" s="8" t="s">
        <v>199</v>
      </c>
      <c r="H182" s="1">
        <v>43903</v>
      </c>
      <c r="I182" s="14">
        <f t="shared" si="15"/>
        <v>9.1318488866649981E-3</v>
      </c>
      <c r="J182" s="14">
        <f t="shared" si="16"/>
        <v>0.62290467850888165</v>
      </c>
      <c r="K182" s="17">
        <f t="shared" si="17"/>
        <v>5.624131760588577E-4</v>
      </c>
      <c r="L182" s="8" t="str" cm="1">
        <f t="array" ref="L182">_xlfn.IFS(I182&gt;5%,"High Risk",AND(I182&gt;2%,I182&lt;5%),"Modrate Risk",I182&lt;2%, "Low Risk")</f>
        <v>Low Risk</v>
      </c>
      <c r="S182"/>
      <c r="T182"/>
    </row>
    <row r="183" spans="1:20" ht="18" customHeight="1" x14ac:dyDescent="0.25">
      <c r="A183" s="9" t="s">
        <v>184</v>
      </c>
      <c r="B183" s="9">
        <v>431</v>
      </c>
      <c r="C183" s="9">
        <v>0</v>
      </c>
      <c r="D183" s="9">
        <v>365</v>
      </c>
      <c r="E183" s="9">
        <v>66</v>
      </c>
      <c r="F183" s="9">
        <v>97425470</v>
      </c>
      <c r="G183" s="9" t="s">
        <v>195</v>
      </c>
      <c r="H183" s="10">
        <v>43853</v>
      </c>
      <c r="I183" s="15">
        <f t="shared" si="15"/>
        <v>0</v>
      </c>
      <c r="J183" s="15">
        <f t="shared" si="16"/>
        <v>0.84686774941995357</v>
      </c>
      <c r="K183" s="18">
        <f t="shared" si="17"/>
        <v>4.4238944908348918E-6</v>
      </c>
      <c r="L183" s="9" t="str" cm="1">
        <f t="array" ref="L183">_xlfn.IFS(I183&gt;5%,"High Risk",AND(I183&gt;2%,I183&lt;5%),"Modrate Risk",I183&lt;2%, "Low Risk")</f>
        <v>Low Risk</v>
      </c>
      <c r="S183"/>
      <c r="T183"/>
    </row>
    <row r="184" spans="1:20" ht="18" customHeight="1" x14ac:dyDescent="0.25">
      <c r="A184" s="8" t="s">
        <v>185</v>
      </c>
      <c r="B184" s="8">
        <v>10621</v>
      </c>
      <c r="C184" s="8">
        <v>78</v>
      </c>
      <c r="D184" s="8">
        <v>3752</v>
      </c>
      <c r="E184" s="8">
        <v>6791</v>
      </c>
      <c r="F184" s="11">
        <v>4800000</v>
      </c>
      <c r="G184" s="8" t="s">
        <v>195</v>
      </c>
      <c r="H184" s="1">
        <v>43895</v>
      </c>
      <c r="I184" s="14">
        <f t="shared" si="15"/>
        <v>7.3439412484700125E-3</v>
      </c>
      <c r="J184" s="14">
        <f t="shared" si="16"/>
        <v>0.35326240466999342</v>
      </c>
      <c r="K184" s="17">
        <f t="shared" si="17"/>
        <v>2.2127083333333335E-3</v>
      </c>
      <c r="L184" s="8" t="str" cm="1">
        <f t="array" ref="L184">_xlfn.IFS(I184&gt;5%,"High Risk",AND(I184&gt;2%,I184&lt;5%),"Modrate Risk",I184&lt;2%, "Low Risk")</f>
        <v>Low Risk</v>
      </c>
      <c r="S184"/>
      <c r="T184"/>
    </row>
    <row r="185" spans="1:20" ht="18" customHeight="1" x14ac:dyDescent="0.25">
      <c r="A185" s="9" t="s">
        <v>186</v>
      </c>
      <c r="B185" s="9">
        <v>10</v>
      </c>
      <c r="C185" s="9">
        <v>1</v>
      </c>
      <c r="D185" s="9">
        <v>8</v>
      </c>
      <c r="E185" s="9">
        <v>1</v>
      </c>
      <c r="F185" s="9">
        <v>598682</v>
      </c>
      <c r="G185" s="9" t="s">
        <v>197</v>
      </c>
      <c r="H185" s="10">
        <v>43925</v>
      </c>
      <c r="I185" s="15">
        <f t="shared" si="15"/>
        <v>0.1</v>
      </c>
      <c r="J185" s="15">
        <f t="shared" si="16"/>
        <v>0.8</v>
      </c>
      <c r="K185" s="18">
        <f t="shared" si="17"/>
        <v>1.6703358377235327E-5</v>
      </c>
      <c r="L185" s="9" t="str" cm="1">
        <f t="array" ref="L185">_xlfn.IFS(I185&gt;5%,"High Risk",AND(I185&gt;2%,I185&lt;5%),"Modrate Risk",I185&lt;2%, "Low Risk")</f>
        <v>High Risk</v>
      </c>
      <c r="S185"/>
      <c r="T185"/>
    </row>
    <row r="186" spans="1:20" ht="18" customHeight="1" x14ac:dyDescent="0.25">
      <c r="A186" s="8" t="s">
        <v>187</v>
      </c>
      <c r="B186" s="8">
        <v>1691</v>
      </c>
      <c r="C186" s="8">
        <v>483</v>
      </c>
      <c r="D186" s="8">
        <v>833</v>
      </c>
      <c r="E186" s="8">
        <v>375</v>
      </c>
      <c r="F186" s="8">
        <v>29886897</v>
      </c>
      <c r="G186" s="8" t="s">
        <v>195</v>
      </c>
      <c r="H186" s="1">
        <v>43931</v>
      </c>
      <c r="I186" s="14">
        <f t="shared" si="15"/>
        <v>0.28562980484920164</v>
      </c>
      <c r="J186" s="14">
        <f t="shared" si="16"/>
        <v>0.49260792430514488</v>
      </c>
      <c r="K186" s="17">
        <f t="shared" si="17"/>
        <v>5.6579978844909859E-5</v>
      </c>
      <c r="L186" s="8" t="str" cm="1">
        <f t="array" ref="L186">_xlfn.IFS(I186&gt;5%,"High Risk",AND(I186&gt;2%,I186&lt;5%),"Modrate Risk",I186&lt;2%, "Low Risk")</f>
        <v>High Risk</v>
      </c>
      <c r="S186"/>
      <c r="T186"/>
    </row>
    <row r="187" spans="1:20" ht="18" customHeight="1" x14ac:dyDescent="0.25">
      <c r="A187" s="9" t="s">
        <v>188</v>
      </c>
      <c r="B187" s="9">
        <v>4552</v>
      </c>
      <c r="C187" s="9">
        <v>140</v>
      </c>
      <c r="D187" s="9">
        <v>2815</v>
      </c>
      <c r="E187" s="9">
        <v>1597</v>
      </c>
      <c r="F187" s="9">
        <v>18430129</v>
      </c>
      <c r="G187" s="9" t="s">
        <v>197</v>
      </c>
      <c r="H187" s="10">
        <v>43908</v>
      </c>
      <c r="I187" s="15">
        <f t="shared" si="15"/>
        <v>3.0755711775043937E-2</v>
      </c>
      <c r="J187" s="15">
        <f t="shared" si="16"/>
        <v>0.61840949033391912</v>
      </c>
      <c r="K187" s="18">
        <f t="shared" si="17"/>
        <v>2.4698687676033088E-4</v>
      </c>
      <c r="L187" s="9" t="str" cm="1">
        <f t="array" ref="L187">_xlfn.IFS(I187&gt;5%,"High Risk",AND(I187&gt;2%,I187&lt;5%),"Modrate Risk",I187&lt;2%, "Low Risk")</f>
        <v>Modrate Risk</v>
      </c>
      <c r="S187"/>
      <c r="T187"/>
    </row>
    <row r="188" spans="1:20" ht="18" customHeight="1" x14ac:dyDescent="0.25">
      <c r="A188" s="8" t="s">
        <v>189</v>
      </c>
      <c r="B188" s="8">
        <v>2704</v>
      </c>
      <c r="C188" s="8">
        <v>36</v>
      </c>
      <c r="D188" s="8">
        <v>542</v>
      </c>
      <c r="E188" s="8">
        <v>2126</v>
      </c>
      <c r="F188" s="8">
        <v>14883803</v>
      </c>
      <c r="G188" s="8" t="s">
        <v>197</v>
      </c>
      <c r="H188" s="1">
        <v>43911</v>
      </c>
      <c r="I188" s="14">
        <f t="shared" si="15"/>
        <v>1.3313609467455622E-2</v>
      </c>
      <c r="J188" s="14">
        <f t="shared" si="16"/>
        <v>0.20044378698224852</v>
      </c>
      <c r="K188" s="17">
        <f t="shared" si="17"/>
        <v>1.8167399823821909E-4</v>
      </c>
      <c r="L188" s="8" t="str" cm="1">
        <f t="array" ref="L188">_xlfn.IFS(I188&gt;5%,"High Risk",AND(I188&gt;2%,I188&lt;5%),"Modrate Risk",I188&lt;2%, "Low Risk")</f>
        <v>Low Risk</v>
      </c>
      <c r="S188"/>
      <c r="T188"/>
    </row>
  </sheetData>
  <autoFilter ref="A1:L188" xr:uid="{F9A359E6-F680-4CEA-A4DD-E5F1B22DAFFE}"/>
  <phoneticPr fontId="3" type="noConversion"/>
  <conditionalFormatting sqref="A1:A188">
    <cfRule type="expression" dxfId="6" priority="8">
      <formula>$I1048573&gt;5%</formula>
    </cfRule>
  </conditionalFormatting>
  <conditionalFormatting sqref="I2:I188">
    <cfRule type="iconSet" priority="3">
      <iconSet iconSet="3Arrows">
        <cfvo type="percent" val="0"/>
        <cfvo type="percent" val="33"/>
        <cfvo type="percent" val="67"/>
      </iconSet>
    </cfRule>
  </conditionalFormatting>
  <conditionalFormatting sqref="J2:J188">
    <cfRule type="colorScale" priority="5">
      <colorScale>
        <cfvo type="min"/>
        <cfvo type="percentile" val="50"/>
        <cfvo type="max"/>
        <color rgb="FFF8696B"/>
        <color rgb="FFFFEB84"/>
        <color rgb="FF63BE7B"/>
      </colorScale>
    </cfRule>
    <cfRule type="colorScale" priority="6">
      <colorScale>
        <cfvo type="min"/>
        <cfvo type="percentile" val="50"/>
        <cfvo type="max"/>
        <color rgb="FFF8696B"/>
        <color rgb="FFFFEB84"/>
        <color rgb="FF63BE7B"/>
      </colorScale>
    </cfRule>
    <cfRule type="colorScale" priority="7">
      <colorScale>
        <cfvo type="min"/>
        <cfvo type="percentile" val="50"/>
        <cfvo type="max"/>
        <color rgb="FFF8696B"/>
        <color rgb="FFFFEB84"/>
        <color rgb="FF63BE7B"/>
      </colorScale>
    </cfRule>
  </conditionalFormatting>
  <conditionalFormatting sqref="K2:K188">
    <cfRule type="dataBar" priority="4">
      <dataBar>
        <cfvo type="min"/>
        <cfvo type="max"/>
        <color rgb="FF638EC6"/>
      </dataBar>
      <extLst>
        <ext xmlns:x14="http://schemas.microsoft.com/office/spreadsheetml/2009/9/main" uri="{B025F937-C7B1-47D3-B67F-A62EFF666E3E}">
          <x14:id>{D5CB08AB-C6E7-4FCE-A9AD-739DD53F1791}</x14:id>
        </ext>
      </extLst>
    </cfRule>
  </conditionalFormatting>
  <conditionalFormatting sqref="N4 N7:N9">
    <cfRule type="expression" dxfId="5" priority="10">
      <formula>$O5="Invalid"</formula>
    </cfRule>
  </conditionalFormatting>
  <conditionalFormatting sqref="N5:N6">
    <cfRule type="expression" dxfId="4" priority="12">
      <formula>#REF!="Invalid"</formula>
    </cfRule>
  </conditionalFormatting>
  <conditionalFormatting sqref="O2">
    <cfRule type="expression" dxfId="3" priority="2">
      <formula>$I1048574&gt;5%</formula>
    </cfRule>
  </conditionalFormatting>
  <dataValidations count="1">
    <dataValidation type="list" allowBlank="1" showInputMessage="1" showErrorMessage="1" sqref="O3" xr:uid="{89D10D9D-F6BA-4E27-9D22-764CE1FDF2C6}">
      <formula1>$A$2:$A$188</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5CB08AB-C6E7-4FCE-A9AD-739DD53F1791}">
            <x14:dataBar minLength="0" maxLength="100" gradient="0">
              <x14:cfvo type="autoMin"/>
              <x14:cfvo type="autoMax"/>
              <x14:negativeFillColor rgb="FFFF0000"/>
              <x14:axisColor rgb="FF000000"/>
            </x14:dataBar>
          </x14:cfRule>
          <xm:sqref>K2:K188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281015-0D4B-4330-9905-622EACD55EFB}">
  <dimension ref="A1:P188"/>
  <sheetViews>
    <sheetView topLeftCell="J1" workbookViewId="0">
      <selection activeCell="Y10" sqref="Y10"/>
    </sheetView>
  </sheetViews>
  <sheetFormatPr defaultRowHeight="15" x14ac:dyDescent="0.25"/>
  <cols>
    <col min="1" max="1" width="30.7109375" bestFit="1" customWidth="1"/>
    <col min="2" max="2" width="10.7109375" bestFit="1" customWidth="1"/>
    <col min="3" max="3" width="7.42578125" bestFit="1" customWidth="1"/>
    <col min="4" max="4" width="10.7109375" bestFit="1" customWidth="1"/>
    <col min="5" max="5" width="8" bestFit="1" customWidth="1"/>
    <col min="6" max="6" width="11" bestFit="1" customWidth="1"/>
    <col min="7" max="7" width="17.42578125" bestFit="1" customWidth="1"/>
    <col min="8" max="8" width="16.42578125" bestFit="1" customWidth="1"/>
    <col min="9" max="9" width="14.5703125" bestFit="1" customWidth="1"/>
    <col min="10" max="10" width="17.7109375" bestFit="1" customWidth="1"/>
    <col min="11" max="11" width="17.42578125" bestFit="1" customWidth="1"/>
    <col min="12" max="12" width="12.42578125" bestFit="1" customWidth="1"/>
    <col min="14" max="14" width="15.140625" bestFit="1" customWidth="1"/>
    <col min="15" max="16" width="17.7109375" bestFit="1" customWidth="1"/>
  </cols>
  <sheetData>
    <row r="1" spans="1:16" x14ac:dyDescent="0.25">
      <c r="A1" s="5" t="s">
        <v>0</v>
      </c>
      <c r="B1" s="5" t="s">
        <v>1</v>
      </c>
      <c r="C1" s="5" t="s">
        <v>2</v>
      </c>
      <c r="D1" s="5" t="s">
        <v>3</v>
      </c>
      <c r="E1" s="5" t="s">
        <v>4</v>
      </c>
      <c r="F1" s="6" t="s">
        <v>192</v>
      </c>
      <c r="G1" s="5" t="s">
        <v>193</v>
      </c>
      <c r="H1" s="7" t="s">
        <v>194</v>
      </c>
      <c r="I1" s="5" t="s">
        <v>201</v>
      </c>
      <c r="J1" s="5" t="s">
        <v>202</v>
      </c>
      <c r="K1" s="16" t="s">
        <v>203</v>
      </c>
      <c r="L1" s="5" t="s">
        <v>204</v>
      </c>
    </row>
    <row r="2" spans="1:16" x14ac:dyDescent="0.25">
      <c r="A2" s="8" t="s">
        <v>5</v>
      </c>
      <c r="B2" s="8">
        <v>36263</v>
      </c>
      <c r="C2" s="8">
        <v>1269</v>
      </c>
      <c r="D2" s="8">
        <v>25198</v>
      </c>
      <c r="E2" s="8">
        <v>9796</v>
      </c>
      <c r="F2" s="8">
        <v>39009447</v>
      </c>
      <c r="G2" s="8" t="s">
        <v>195</v>
      </c>
      <c r="H2" s="1">
        <v>43885</v>
      </c>
      <c r="I2" s="14">
        <f t="shared" ref="I2:I65" si="0">C2/B2</f>
        <v>3.4994346854920991E-2</v>
      </c>
      <c r="J2" s="14">
        <f t="shared" ref="J2:J65" si="1">D2/B2</f>
        <v>0.69486804732096075</v>
      </c>
      <c r="K2" s="17">
        <f t="shared" ref="K2:K65" si="2">B2/F2</f>
        <v>9.2959533622714516E-4</v>
      </c>
      <c r="L2" s="8" t="str" cm="1">
        <f t="array" ref="L2">_xlfn.IFS(I2&gt;5%,"High Risk",AND(I2&gt;2%,I2&lt;5%),"Modrate Risk",I2&lt;2%, "Low Risk")</f>
        <v>Modrate Risk</v>
      </c>
    </row>
    <row r="3" spans="1:16" x14ac:dyDescent="0.25">
      <c r="A3" s="9" t="s">
        <v>6</v>
      </c>
      <c r="B3" s="9">
        <v>4880</v>
      </c>
      <c r="C3" s="9">
        <v>144</v>
      </c>
      <c r="D3" s="9">
        <v>2745</v>
      </c>
      <c r="E3" s="9">
        <v>1991</v>
      </c>
      <c r="F3" s="9">
        <v>2877470</v>
      </c>
      <c r="G3" s="9" t="s">
        <v>196</v>
      </c>
      <c r="H3" s="10">
        <v>43899</v>
      </c>
      <c r="I3" s="15">
        <f t="shared" si="0"/>
        <v>2.9508196721311476E-2</v>
      </c>
      <c r="J3" s="15">
        <f t="shared" si="1"/>
        <v>0.5625</v>
      </c>
      <c r="K3" s="18">
        <f t="shared" si="2"/>
        <v>1.6959342755962703E-3</v>
      </c>
      <c r="L3" s="9" t="str" cm="1">
        <f t="array" ref="L3">_xlfn.IFS(I3&gt;5%,"High Risk",AND(I3&gt;2%,I3&lt;5%),"Modrate Risk",I3&lt;2%, "Low Risk")</f>
        <v>Modrate Risk</v>
      </c>
      <c r="N3" s="19" t="s">
        <v>205</v>
      </c>
      <c r="O3" t="s">
        <v>207</v>
      </c>
      <c r="P3" t="s">
        <v>222</v>
      </c>
    </row>
    <row r="4" spans="1:16" x14ac:dyDescent="0.25">
      <c r="A4" s="8" t="s">
        <v>7</v>
      </c>
      <c r="B4" s="8">
        <v>27973</v>
      </c>
      <c r="C4" s="8">
        <v>1163</v>
      </c>
      <c r="D4" s="8">
        <v>18837</v>
      </c>
      <c r="E4" s="8">
        <v>7973</v>
      </c>
      <c r="F4" s="8">
        <v>43926079</v>
      </c>
      <c r="G4" s="8" t="s">
        <v>197</v>
      </c>
      <c r="H4" s="1">
        <v>43886</v>
      </c>
      <c r="I4" s="14">
        <f t="shared" si="0"/>
        <v>4.1575805240767885E-2</v>
      </c>
      <c r="J4" s="14">
        <f t="shared" si="1"/>
        <v>0.67339934937260926</v>
      </c>
      <c r="K4" s="17">
        <f t="shared" si="2"/>
        <v>6.3681987185790017E-4</v>
      </c>
      <c r="L4" s="8" t="str" cm="1">
        <f t="array" ref="L4">_xlfn.IFS(I4&gt;5%,"High Risk",AND(I4&gt;2%,I4&lt;5%),"Modrate Risk",I4&lt;2%, "Low Risk")</f>
        <v>Modrate Risk</v>
      </c>
      <c r="N4" s="20" t="s">
        <v>28</v>
      </c>
      <c r="O4">
        <v>2442375</v>
      </c>
      <c r="P4">
        <v>1846641</v>
      </c>
    </row>
    <row r="5" spans="1:16" x14ac:dyDescent="0.25">
      <c r="A5" s="9" t="s">
        <v>8</v>
      </c>
      <c r="B5" s="9">
        <v>907</v>
      </c>
      <c r="C5" s="9">
        <v>52</v>
      </c>
      <c r="D5" s="9">
        <v>803</v>
      </c>
      <c r="E5" s="9">
        <v>52</v>
      </c>
      <c r="F5" s="9">
        <v>77278</v>
      </c>
      <c r="G5" s="9" t="s">
        <v>196</v>
      </c>
      <c r="H5" s="10">
        <v>43892</v>
      </c>
      <c r="I5" s="15">
        <f t="shared" si="0"/>
        <v>5.7331863285556783E-2</v>
      </c>
      <c r="J5" s="15">
        <f t="shared" si="1"/>
        <v>0.88533627342888643</v>
      </c>
      <c r="K5" s="18">
        <f t="shared" si="2"/>
        <v>1.1736846191671627E-2</v>
      </c>
      <c r="L5" s="9" t="str" cm="1">
        <f t="array" ref="L5">_xlfn.IFS(I5&gt;5%,"High Risk",AND(I5&gt;2%,I5&lt;5%),"Modrate Risk",I5&lt;2%, "Low Risk")</f>
        <v>High Risk</v>
      </c>
      <c r="N5" s="20" t="s">
        <v>39</v>
      </c>
      <c r="O5">
        <v>347923</v>
      </c>
      <c r="P5">
        <v>319954</v>
      </c>
    </row>
    <row r="6" spans="1:16" x14ac:dyDescent="0.25">
      <c r="A6" s="8" t="s">
        <v>9</v>
      </c>
      <c r="B6" s="8">
        <v>950</v>
      </c>
      <c r="C6" s="8">
        <v>41</v>
      </c>
      <c r="D6" s="8">
        <v>242</v>
      </c>
      <c r="E6" s="8">
        <v>667</v>
      </c>
      <c r="F6" s="8">
        <v>32956300</v>
      </c>
      <c r="G6" s="8" t="s">
        <v>197</v>
      </c>
      <c r="H6" s="1">
        <v>43911</v>
      </c>
      <c r="I6" s="14">
        <f t="shared" si="0"/>
        <v>4.3157894736842103E-2</v>
      </c>
      <c r="J6" s="14">
        <f t="shared" si="1"/>
        <v>0.25473684210526315</v>
      </c>
      <c r="K6" s="17">
        <f t="shared" si="2"/>
        <v>2.8826051468156317E-5</v>
      </c>
      <c r="L6" s="8" t="str" cm="1">
        <f t="array" ref="L6">_xlfn.IFS(I6&gt;5%,"High Risk",AND(I6&gt;2%,I6&lt;5%),"Modrate Risk",I6&lt;2%, "Low Risk")</f>
        <v>Modrate Risk</v>
      </c>
      <c r="N6" s="20" t="s">
        <v>83</v>
      </c>
      <c r="O6">
        <v>1480073</v>
      </c>
      <c r="P6">
        <v>951166</v>
      </c>
    </row>
    <row r="7" spans="1:16" x14ac:dyDescent="0.25">
      <c r="A7" s="9" t="s">
        <v>10</v>
      </c>
      <c r="B7" s="9">
        <v>86</v>
      </c>
      <c r="C7" s="9">
        <v>3</v>
      </c>
      <c r="D7" s="9">
        <v>65</v>
      </c>
      <c r="E7" s="9">
        <v>18</v>
      </c>
      <c r="F7" s="9">
        <v>98010</v>
      </c>
      <c r="G7" s="9" t="s">
        <v>198</v>
      </c>
      <c r="H7" s="10">
        <v>43903</v>
      </c>
      <c r="I7" s="15">
        <f t="shared" si="0"/>
        <v>3.4883720930232558E-2</v>
      </c>
      <c r="J7" s="15">
        <f t="shared" si="1"/>
        <v>0.7558139534883721</v>
      </c>
      <c r="K7" s="18">
        <f t="shared" si="2"/>
        <v>8.7746148352208962E-4</v>
      </c>
      <c r="L7" s="9" t="str" cm="1">
        <f t="array" ref="L7">_xlfn.IFS(I7&gt;5%,"High Risk",AND(I7&gt;2%,I7&lt;5%),"Modrate Risk",I7&lt;2%, "Low Risk")</f>
        <v>Modrate Risk</v>
      </c>
      <c r="N7" s="20" t="s">
        <v>85</v>
      </c>
      <c r="O7">
        <v>293606</v>
      </c>
      <c r="P7">
        <v>255144</v>
      </c>
    </row>
    <row r="8" spans="1:16" x14ac:dyDescent="0.25">
      <c r="A8" s="8" t="s">
        <v>11</v>
      </c>
      <c r="B8" s="8">
        <v>167416</v>
      </c>
      <c r="C8" s="8">
        <v>3059</v>
      </c>
      <c r="D8" s="8">
        <v>72575</v>
      </c>
      <c r="E8" s="8">
        <v>91782</v>
      </c>
      <c r="F8" s="8">
        <v>45236884</v>
      </c>
      <c r="G8" s="8" t="s">
        <v>199</v>
      </c>
      <c r="H8" s="1">
        <v>43893</v>
      </c>
      <c r="I8" s="14">
        <f t="shared" si="0"/>
        <v>1.8271849763463469E-2</v>
      </c>
      <c r="J8" s="14">
        <f t="shared" si="1"/>
        <v>0.43350097959573758</v>
      </c>
      <c r="K8" s="17">
        <f t="shared" si="2"/>
        <v>3.7008738267649026E-3</v>
      </c>
      <c r="L8" s="8" t="str" cm="1">
        <f t="array" ref="L8">_xlfn.IFS(I8&gt;5%,"High Risk",AND(I8&gt;2%,I8&lt;5%),"Modrate Risk",I8&lt;2%, "Low Risk")</f>
        <v>Low Risk</v>
      </c>
      <c r="N8" s="20" t="s">
        <v>115</v>
      </c>
      <c r="O8">
        <v>395489</v>
      </c>
      <c r="P8">
        <v>303810</v>
      </c>
    </row>
    <row r="9" spans="1:16" x14ac:dyDescent="0.25">
      <c r="A9" s="9" t="s">
        <v>12</v>
      </c>
      <c r="B9" s="9">
        <v>37390</v>
      </c>
      <c r="C9" s="9">
        <v>711</v>
      </c>
      <c r="D9" s="9">
        <v>26665</v>
      </c>
      <c r="E9" s="9">
        <v>10014</v>
      </c>
      <c r="F9" s="9">
        <v>2963811</v>
      </c>
      <c r="G9" s="9" t="s">
        <v>195</v>
      </c>
      <c r="H9" s="10">
        <v>43891</v>
      </c>
      <c r="I9" s="15">
        <f t="shared" si="0"/>
        <v>1.901577962021931E-2</v>
      </c>
      <c r="J9" s="15">
        <f t="shared" si="1"/>
        <v>0.71315859855576358</v>
      </c>
      <c r="K9" s="18">
        <f t="shared" si="2"/>
        <v>1.2615514282118529E-2</v>
      </c>
      <c r="L9" s="9" t="str" cm="1">
        <f t="array" ref="L9">_xlfn.IFS(I9&gt;5%,"High Risk",AND(I9&gt;2%,I9&lt;5%),"Modrate Risk",I9&lt;2%, "Low Risk")</f>
        <v>Low Risk</v>
      </c>
      <c r="N9" s="20" t="s">
        <v>136</v>
      </c>
      <c r="O9">
        <v>389717</v>
      </c>
      <c r="P9">
        <v>272547</v>
      </c>
    </row>
    <row r="10" spans="1:16" x14ac:dyDescent="0.25">
      <c r="A10" s="8" t="s">
        <v>13</v>
      </c>
      <c r="B10" s="8">
        <v>15303</v>
      </c>
      <c r="C10" s="8">
        <v>167</v>
      </c>
      <c r="D10" s="8">
        <v>9311</v>
      </c>
      <c r="E10" s="8">
        <v>5825</v>
      </c>
      <c r="F10" s="8">
        <v>25528864</v>
      </c>
      <c r="G10" s="8" t="s">
        <v>200</v>
      </c>
      <c r="H10" s="1">
        <v>43855</v>
      </c>
      <c r="I10" s="14">
        <f t="shared" si="0"/>
        <v>1.0912892896817617E-2</v>
      </c>
      <c r="J10" s="14">
        <f t="shared" si="1"/>
        <v>0.60844278899562176</v>
      </c>
      <c r="K10" s="17">
        <f t="shared" si="2"/>
        <v>5.9943912897965216E-4</v>
      </c>
      <c r="L10" s="8" t="str" cm="1">
        <f t="array" ref="L10">_xlfn.IFS(I10&gt;5%,"High Risk",AND(I10&gt;2%,I10&lt;5%),"Modrate Risk",I10&lt;2%, "Low Risk")</f>
        <v>Low Risk</v>
      </c>
      <c r="N10" s="20" t="s">
        <v>142</v>
      </c>
      <c r="O10">
        <v>816680</v>
      </c>
      <c r="P10">
        <v>602249</v>
      </c>
    </row>
    <row r="11" spans="1:16" x14ac:dyDescent="0.25">
      <c r="A11" s="9" t="s">
        <v>14</v>
      </c>
      <c r="B11" s="9">
        <v>20558</v>
      </c>
      <c r="C11" s="9">
        <v>713</v>
      </c>
      <c r="D11" s="9">
        <v>18246</v>
      </c>
      <c r="E11" s="9">
        <v>1599</v>
      </c>
      <c r="F11" s="9">
        <v>9011577</v>
      </c>
      <c r="G11" s="9" t="s">
        <v>196</v>
      </c>
      <c r="H11" s="10">
        <v>43886</v>
      </c>
      <c r="I11" s="15">
        <f t="shared" si="0"/>
        <v>3.4682362097480303E-2</v>
      </c>
      <c r="J11" s="15">
        <f t="shared" si="1"/>
        <v>0.88753769821967121</v>
      </c>
      <c r="K11" s="18">
        <f t="shared" si="2"/>
        <v>2.2812877257776302E-3</v>
      </c>
      <c r="L11" s="9" t="str" cm="1">
        <f t="array" ref="L11">_xlfn.IFS(I11&gt;5%,"High Risk",AND(I11&gt;2%,I11&lt;5%),"Modrate Risk",I11&lt;2%, "Low Risk")</f>
        <v>Modrate Risk</v>
      </c>
      <c r="N11" s="20" t="s">
        <v>158</v>
      </c>
      <c r="O11">
        <v>452529</v>
      </c>
      <c r="P11">
        <v>274925</v>
      </c>
    </row>
    <row r="12" spans="1:16" x14ac:dyDescent="0.25">
      <c r="A12" s="8" t="s">
        <v>15</v>
      </c>
      <c r="B12" s="8">
        <v>30446</v>
      </c>
      <c r="C12" s="8">
        <v>423</v>
      </c>
      <c r="D12" s="8">
        <v>23242</v>
      </c>
      <c r="E12" s="8">
        <v>6781</v>
      </c>
      <c r="F12" s="8">
        <v>10148243</v>
      </c>
      <c r="G12" s="8" t="s">
        <v>195</v>
      </c>
      <c r="H12" s="1">
        <v>43889</v>
      </c>
      <c r="I12" s="14">
        <f t="shared" si="0"/>
        <v>1.389345069959929E-2</v>
      </c>
      <c r="J12" s="14">
        <f t="shared" si="1"/>
        <v>0.76338435262431847</v>
      </c>
      <c r="K12" s="17">
        <f t="shared" si="2"/>
        <v>3.0001252433549336E-3</v>
      </c>
      <c r="L12" s="8" t="str" cm="1">
        <f t="array" ref="L12">_xlfn.IFS(I12&gt;5%,"High Risk",AND(I12&gt;2%,I12&lt;5%),"Modrate Risk",I12&lt;2%, "Low Risk")</f>
        <v>Low Risk</v>
      </c>
      <c r="N12" s="20" t="s">
        <v>180</v>
      </c>
      <c r="O12">
        <v>301708</v>
      </c>
      <c r="P12">
        <v>1437</v>
      </c>
    </row>
    <row r="13" spans="1:16" x14ac:dyDescent="0.25">
      <c r="A13" s="9" t="s">
        <v>16</v>
      </c>
      <c r="B13" s="9">
        <v>382</v>
      </c>
      <c r="C13" s="9">
        <v>11</v>
      </c>
      <c r="D13" s="9">
        <v>91</v>
      </c>
      <c r="E13" s="9">
        <v>280</v>
      </c>
      <c r="F13" s="9">
        <v>393616</v>
      </c>
      <c r="G13" s="9" t="s">
        <v>198</v>
      </c>
      <c r="H13" s="10">
        <v>43905</v>
      </c>
      <c r="I13" s="15">
        <f t="shared" si="0"/>
        <v>2.8795811518324606E-2</v>
      </c>
      <c r="J13" s="15">
        <f t="shared" si="1"/>
        <v>0.23821989528795812</v>
      </c>
      <c r="K13" s="18">
        <f t="shared" si="2"/>
        <v>9.7048900451201169E-4</v>
      </c>
      <c r="L13" s="9" t="str" cm="1">
        <f t="array" ref="L13">_xlfn.IFS(I13&gt;5%,"High Risk",AND(I13&gt;2%,I13&lt;5%),"Modrate Risk",I13&lt;2%, "Low Risk")</f>
        <v>Modrate Risk</v>
      </c>
      <c r="N13" s="20" t="s">
        <v>176</v>
      </c>
      <c r="O13">
        <v>4290259</v>
      </c>
      <c r="P13">
        <v>1325804</v>
      </c>
    </row>
    <row r="14" spans="1:16" x14ac:dyDescent="0.25">
      <c r="A14" s="8" t="s">
        <v>17</v>
      </c>
      <c r="B14" s="8">
        <v>39482</v>
      </c>
      <c r="C14" s="8">
        <v>141</v>
      </c>
      <c r="D14" s="8">
        <v>36110</v>
      </c>
      <c r="E14" s="8">
        <v>3231</v>
      </c>
      <c r="F14" s="8">
        <v>1706669</v>
      </c>
      <c r="G14" s="8" t="s">
        <v>195</v>
      </c>
      <c r="H14" s="1">
        <v>43882</v>
      </c>
      <c r="I14" s="14">
        <f t="shared" si="0"/>
        <v>3.5712476571602247E-3</v>
      </c>
      <c r="J14" s="14">
        <f t="shared" si="1"/>
        <v>0.91459399219897675</v>
      </c>
      <c r="K14" s="17">
        <f t="shared" si="2"/>
        <v>2.3133952746548978E-2</v>
      </c>
      <c r="L14" s="8" t="str" cm="1">
        <f t="array" ref="L14">_xlfn.IFS(I14&gt;5%,"High Risk",AND(I14&gt;2%,I14&lt;5%),"Modrate Risk",I14&lt;2%, "Low Risk")</f>
        <v>Low Risk</v>
      </c>
      <c r="N14" s="20" t="s">
        <v>206</v>
      </c>
      <c r="O14">
        <v>11210359</v>
      </c>
      <c r="P14">
        <v>6153677</v>
      </c>
    </row>
    <row r="15" spans="1:16" x14ac:dyDescent="0.25">
      <c r="A15" s="9" t="s">
        <v>18</v>
      </c>
      <c r="B15" s="9">
        <v>226225</v>
      </c>
      <c r="C15" s="9">
        <v>2965</v>
      </c>
      <c r="D15" s="9">
        <v>125683</v>
      </c>
      <c r="E15" s="9">
        <v>97577</v>
      </c>
      <c r="F15" s="9">
        <v>164851401</v>
      </c>
      <c r="G15" s="9" t="s">
        <v>195</v>
      </c>
      <c r="H15" s="10">
        <v>43898</v>
      </c>
      <c r="I15" s="15">
        <f t="shared" si="0"/>
        <v>1.3106420598961211E-2</v>
      </c>
      <c r="J15" s="15">
        <f t="shared" si="1"/>
        <v>0.55556636092385903</v>
      </c>
      <c r="K15" s="18">
        <f t="shared" si="2"/>
        <v>1.3722964962851604E-3</v>
      </c>
      <c r="L15" s="9" t="str" cm="1">
        <f t="array" ref="L15">_xlfn.IFS(I15&gt;5%,"High Risk",AND(I15&gt;2%,I15&lt;5%),"Modrate Risk",I15&lt;2%, "Low Risk")</f>
        <v>Low Risk</v>
      </c>
    </row>
    <row r="16" spans="1:16" x14ac:dyDescent="0.25">
      <c r="A16" s="8" t="s">
        <v>19</v>
      </c>
      <c r="B16" s="8">
        <v>110</v>
      </c>
      <c r="C16" s="8">
        <v>7</v>
      </c>
      <c r="D16" s="8">
        <v>94</v>
      </c>
      <c r="E16" s="8">
        <v>9</v>
      </c>
      <c r="F16" s="8">
        <v>287411</v>
      </c>
      <c r="G16" s="8" t="s">
        <v>198</v>
      </c>
      <c r="H16" s="1">
        <v>43907</v>
      </c>
      <c r="I16" s="14">
        <f t="shared" si="0"/>
        <v>6.363636363636363E-2</v>
      </c>
      <c r="J16" s="14">
        <f t="shared" si="1"/>
        <v>0.8545454545454545</v>
      </c>
      <c r="K16" s="17">
        <f t="shared" si="2"/>
        <v>3.8272717467320317E-4</v>
      </c>
      <c r="L16" s="8" t="str" cm="1">
        <f t="array" ref="L16">_xlfn.IFS(I16&gt;5%,"High Risk",AND(I16&gt;2%,I16&lt;5%),"Modrate Risk",I16&lt;2%, "Low Risk")</f>
        <v>High Risk</v>
      </c>
    </row>
    <row r="17" spans="1:12" x14ac:dyDescent="0.25">
      <c r="A17" s="9" t="s">
        <v>20</v>
      </c>
      <c r="B17" s="9">
        <v>67251</v>
      </c>
      <c r="C17" s="9">
        <v>538</v>
      </c>
      <c r="D17" s="9">
        <v>60492</v>
      </c>
      <c r="E17" s="9">
        <v>6221</v>
      </c>
      <c r="F17" s="9">
        <v>9449001</v>
      </c>
      <c r="G17" s="9" t="s">
        <v>196</v>
      </c>
      <c r="H17" s="10">
        <v>43889</v>
      </c>
      <c r="I17" s="15">
        <f t="shared" si="0"/>
        <v>7.9998810426610764E-3</v>
      </c>
      <c r="J17" s="15">
        <f t="shared" si="1"/>
        <v>0.89949591827630815</v>
      </c>
      <c r="K17" s="18">
        <f t="shared" si="2"/>
        <v>7.1172603326002401E-3</v>
      </c>
      <c r="L17" s="9" t="str" cm="1">
        <f t="array" ref="L17">_xlfn.IFS(I17&gt;5%,"High Risk",AND(I17&gt;2%,I17&lt;5%),"Modrate Risk",I17&lt;2%, "Low Risk")</f>
        <v>Low Risk</v>
      </c>
    </row>
    <row r="18" spans="1:12" x14ac:dyDescent="0.25">
      <c r="A18" s="8" t="s">
        <v>21</v>
      </c>
      <c r="B18" s="8">
        <v>66428</v>
      </c>
      <c r="C18" s="8">
        <v>9822</v>
      </c>
      <c r="D18" s="8">
        <v>17452</v>
      </c>
      <c r="E18" s="8">
        <v>39154</v>
      </c>
      <c r="F18" s="8">
        <v>11594739</v>
      </c>
      <c r="G18" s="8" t="s">
        <v>196</v>
      </c>
      <c r="H18" s="1">
        <v>43865</v>
      </c>
      <c r="I18" s="14">
        <f t="shared" si="0"/>
        <v>0.14785933642439936</v>
      </c>
      <c r="J18" s="14">
        <f t="shared" si="1"/>
        <v>0.26272053953152286</v>
      </c>
      <c r="K18" s="17">
        <f t="shared" si="2"/>
        <v>5.7291500912612179E-3</v>
      </c>
      <c r="L18" s="8" t="str" cm="1">
        <f t="array" ref="L18">_xlfn.IFS(I18&gt;5%,"High Risk",AND(I18&gt;2%,I18&lt;5%),"Modrate Risk",I18&lt;2%, "Low Risk")</f>
        <v>High Risk</v>
      </c>
    </row>
    <row r="19" spans="1:12" x14ac:dyDescent="0.25">
      <c r="A19" s="9" t="s">
        <v>22</v>
      </c>
      <c r="B19" s="9">
        <v>48</v>
      </c>
      <c r="C19" s="9">
        <v>2</v>
      </c>
      <c r="D19" s="9">
        <v>26</v>
      </c>
      <c r="E19" s="9">
        <v>20</v>
      </c>
      <c r="F19" s="9">
        <v>398312</v>
      </c>
      <c r="G19" s="9" t="s">
        <v>198</v>
      </c>
      <c r="H19" s="10">
        <v>43913</v>
      </c>
      <c r="I19" s="15">
        <f t="shared" si="0"/>
        <v>4.1666666666666664E-2</v>
      </c>
      <c r="J19" s="15">
        <f t="shared" si="1"/>
        <v>0.54166666666666663</v>
      </c>
      <c r="K19" s="18">
        <f t="shared" si="2"/>
        <v>1.2050854606439174E-4</v>
      </c>
      <c r="L19" s="9" t="str" cm="1">
        <f t="array" ref="L19">_xlfn.IFS(I19&gt;5%,"High Risk",AND(I19&gt;2%,I19&lt;5%),"Modrate Risk",I19&lt;2%, "Low Risk")</f>
        <v>Modrate Risk</v>
      </c>
    </row>
    <row r="20" spans="1:12" x14ac:dyDescent="0.25">
      <c r="A20" s="8" t="s">
        <v>23</v>
      </c>
      <c r="B20" s="8">
        <v>1770</v>
      </c>
      <c r="C20" s="8">
        <v>35</v>
      </c>
      <c r="D20" s="8">
        <v>1036</v>
      </c>
      <c r="E20" s="8">
        <v>699</v>
      </c>
      <c r="F20" s="8">
        <v>12151976</v>
      </c>
      <c r="G20" s="8" t="s">
        <v>197</v>
      </c>
      <c r="H20" s="1">
        <v>43906</v>
      </c>
      <c r="I20" s="14">
        <f t="shared" si="0"/>
        <v>1.977401129943503E-2</v>
      </c>
      <c r="J20" s="14">
        <f t="shared" si="1"/>
        <v>0.58531073446327686</v>
      </c>
      <c r="K20" s="17">
        <f t="shared" si="2"/>
        <v>1.4565532387489903E-4</v>
      </c>
      <c r="L20" s="8" t="str" cm="1">
        <f t="array" ref="L20">_xlfn.IFS(I20&gt;5%,"High Risk",AND(I20&gt;2%,I20&lt;5%),"Modrate Risk",I20&lt;2%, "Low Risk")</f>
        <v>Low Risk</v>
      </c>
    </row>
    <row r="21" spans="1:12" x14ac:dyDescent="0.25">
      <c r="A21" s="9" t="s">
        <v>24</v>
      </c>
      <c r="B21" s="9">
        <v>99</v>
      </c>
      <c r="C21" s="9">
        <v>0</v>
      </c>
      <c r="D21" s="9">
        <v>86</v>
      </c>
      <c r="E21" s="9">
        <v>13</v>
      </c>
      <c r="F21" s="9">
        <v>772443</v>
      </c>
      <c r="G21" s="9" t="s">
        <v>195</v>
      </c>
      <c r="H21" s="10">
        <v>43896</v>
      </c>
      <c r="I21" s="15">
        <f t="shared" si="0"/>
        <v>0</v>
      </c>
      <c r="J21" s="15">
        <f t="shared" si="1"/>
        <v>0.86868686868686873</v>
      </c>
      <c r="K21" s="18">
        <f t="shared" si="2"/>
        <v>1.2816479662577045E-4</v>
      </c>
      <c r="L21" s="9" t="str" cm="1">
        <f t="array" ref="L21">_xlfn.IFS(I21&gt;5%,"High Risk",AND(I21&gt;2%,I21&lt;5%),"Modrate Risk",I21&lt;2%, "Low Risk")</f>
        <v>Low Risk</v>
      </c>
    </row>
    <row r="22" spans="1:12" x14ac:dyDescent="0.25">
      <c r="A22" s="8" t="s">
        <v>25</v>
      </c>
      <c r="B22" s="8">
        <v>71181</v>
      </c>
      <c r="C22" s="8">
        <v>2647</v>
      </c>
      <c r="D22" s="8">
        <v>21478</v>
      </c>
      <c r="E22" s="8">
        <v>47056</v>
      </c>
      <c r="F22" s="8">
        <v>11688459</v>
      </c>
      <c r="G22" s="8" t="s">
        <v>199</v>
      </c>
      <c r="H22" s="1">
        <v>43900</v>
      </c>
      <c r="I22" s="14">
        <f t="shared" si="0"/>
        <v>3.7186889759907839E-2</v>
      </c>
      <c r="J22" s="14">
        <f t="shared" si="1"/>
        <v>0.30173782329554233</v>
      </c>
      <c r="K22" s="17">
        <f t="shared" si="2"/>
        <v>6.0898532475495704E-3</v>
      </c>
      <c r="L22" s="8" t="str" cm="1">
        <f t="array" ref="L22">_xlfn.IFS(I22&gt;5%,"High Risk",AND(I22&gt;2%,I22&lt;5%),"Modrate Risk",I22&lt;2%, "Low Risk")</f>
        <v>Modrate Risk</v>
      </c>
    </row>
    <row r="23" spans="1:12" x14ac:dyDescent="0.25">
      <c r="A23" s="9" t="s">
        <v>26</v>
      </c>
      <c r="B23" s="9">
        <v>10498</v>
      </c>
      <c r="C23" s="9">
        <v>294</v>
      </c>
      <c r="D23" s="9">
        <v>4930</v>
      </c>
      <c r="E23" s="9">
        <v>5274</v>
      </c>
      <c r="F23" s="9">
        <v>3278650</v>
      </c>
      <c r="G23" s="9" t="s">
        <v>196</v>
      </c>
      <c r="H23" s="10">
        <v>43895</v>
      </c>
      <c r="I23" s="15">
        <f t="shared" si="0"/>
        <v>2.8005334349399887E-2</v>
      </c>
      <c r="J23" s="15">
        <f t="shared" si="1"/>
        <v>0.46961325966850831</v>
      </c>
      <c r="K23" s="18">
        <f t="shared" si="2"/>
        <v>3.2019276226495663E-3</v>
      </c>
      <c r="L23" s="9" t="str" cm="1">
        <f t="array" ref="L23">_xlfn.IFS(I23&gt;5%,"High Risk",AND(I23&gt;2%,I23&lt;5%),"Modrate Risk",I23&lt;2%, "Low Risk")</f>
        <v>Modrate Risk</v>
      </c>
    </row>
    <row r="24" spans="1:12" x14ac:dyDescent="0.25">
      <c r="A24" s="8" t="s">
        <v>27</v>
      </c>
      <c r="B24" s="8">
        <v>739</v>
      </c>
      <c r="C24" s="8">
        <v>2</v>
      </c>
      <c r="D24" s="8">
        <v>63</v>
      </c>
      <c r="E24" s="8">
        <v>674</v>
      </c>
      <c r="F24" s="8">
        <v>2356075</v>
      </c>
      <c r="G24" s="8" t="s">
        <v>197</v>
      </c>
      <c r="H24" s="1">
        <v>43920</v>
      </c>
      <c r="I24" s="14">
        <f t="shared" si="0"/>
        <v>2.7063599458728013E-3</v>
      </c>
      <c r="J24" s="14">
        <f t="shared" si="1"/>
        <v>8.5250338294993233E-2</v>
      </c>
      <c r="K24" s="17">
        <f t="shared" si="2"/>
        <v>3.1365724775314879E-4</v>
      </c>
      <c r="L24" s="8" t="str" cm="1">
        <f t="array" ref="L24">_xlfn.IFS(I24&gt;5%,"High Risk",AND(I24&gt;2%,I24&lt;5%),"Modrate Risk",I24&lt;2%, "Low Risk")</f>
        <v>Low Risk</v>
      </c>
    </row>
    <row r="25" spans="1:12" x14ac:dyDescent="0.25">
      <c r="A25" s="9" t="s">
        <v>28</v>
      </c>
      <c r="B25" s="9">
        <v>2442375</v>
      </c>
      <c r="C25" s="9">
        <v>87618</v>
      </c>
      <c r="D25" s="9">
        <v>1846641</v>
      </c>
      <c r="E25" s="9">
        <v>508116</v>
      </c>
      <c r="F25" s="9">
        <v>212710692</v>
      </c>
      <c r="G25" s="9" t="s">
        <v>199</v>
      </c>
      <c r="H25" s="10">
        <v>43887</v>
      </c>
      <c r="I25" s="15">
        <f t="shared" si="0"/>
        <v>3.5874097957930291E-2</v>
      </c>
      <c r="J25" s="15">
        <f t="shared" si="1"/>
        <v>0.75608413941348074</v>
      </c>
      <c r="K25" s="18">
        <f t="shared" si="2"/>
        <v>1.1482144959596107E-2</v>
      </c>
      <c r="L25" s="9" t="str" cm="1">
        <f t="array" ref="L25">_xlfn.IFS(I25&gt;5%,"High Risk",AND(I25&gt;2%,I25&lt;5%),"Modrate Risk",I25&lt;2%, "Low Risk")</f>
        <v>Modrate Risk</v>
      </c>
    </row>
    <row r="26" spans="1:12" x14ac:dyDescent="0.25">
      <c r="A26" s="8" t="s">
        <v>29</v>
      </c>
      <c r="B26" s="8">
        <v>141</v>
      </c>
      <c r="C26" s="8">
        <v>3</v>
      </c>
      <c r="D26" s="8">
        <v>138</v>
      </c>
      <c r="E26" s="8">
        <v>0</v>
      </c>
      <c r="F26" s="8">
        <v>437893</v>
      </c>
      <c r="G26" s="8" t="s">
        <v>195</v>
      </c>
      <c r="H26" s="1">
        <v>43899</v>
      </c>
      <c r="I26" s="14">
        <f t="shared" si="0"/>
        <v>2.1276595744680851E-2</v>
      </c>
      <c r="J26" s="14">
        <f t="shared" si="1"/>
        <v>0.97872340425531912</v>
      </c>
      <c r="K26" s="17">
        <f t="shared" si="2"/>
        <v>3.2199646945715047E-4</v>
      </c>
      <c r="L26" s="8" t="str" cm="1">
        <f t="array" ref="L26">_xlfn.IFS(I26&gt;5%,"High Risk",AND(I26&gt;2%,I26&lt;5%),"Modrate Risk",I26&lt;2%, "Low Risk")</f>
        <v>Modrate Risk</v>
      </c>
    </row>
    <row r="27" spans="1:12" x14ac:dyDescent="0.25">
      <c r="A27" s="9" t="s">
        <v>30</v>
      </c>
      <c r="B27" s="9">
        <v>10621</v>
      </c>
      <c r="C27" s="9">
        <v>347</v>
      </c>
      <c r="D27" s="9">
        <v>5585</v>
      </c>
      <c r="E27" s="9">
        <v>4689</v>
      </c>
      <c r="F27" s="9">
        <v>6942854</v>
      </c>
      <c r="G27" s="9" t="s">
        <v>196</v>
      </c>
      <c r="H27" s="10">
        <v>43898</v>
      </c>
      <c r="I27" s="15">
        <f t="shared" si="0"/>
        <v>3.2671123246398641E-2</v>
      </c>
      <c r="J27" s="15">
        <f t="shared" si="1"/>
        <v>0.52584502400903865</v>
      </c>
      <c r="K27" s="18">
        <f t="shared" si="2"/>
        <v>1.5297743550418891E-3</v>
      </c>
      <c r="L27" s="9" t="str" cm="1">
        <f t="array" ref="L27">_xlfn.IFS(I27&gt;5%,"High Risk",AND(I27&gt;2%,I27&lt;5%),"Modrate Risk",I27&lt;2%, "Low Risk")</f>
        <v>Modrate Risk</v>
      </c>
    </row>
    <row r="28" spans="1:12" x14ac:dyDescent="0.25">
      <c r="A28" s="8" t="s">
        <v>31</v>
      </c>
      <c r="B28" s="8">
        <v>1100</v>
      </c>
      <c r="C28" s="8">
        <v>53</v>
      </c>
      <c r="D28" s="8">
        <v>926</v>
      </c>
      <c r="E28" s="8">
        <v>121</v>
      </c>
      <c r="F28" s="8">
        <v>20954852</v>
      </c>
      <c r="G28" s="8" t="s">
        <v>197</v>
      </c>
      <c r="H28" s="1">
        <v>43899</v>
      </c>
      <c r="I28" s="14">
        <f t="shared" si="0"/>
        <v>4.818181818181818E-2</v>
      </c>
      <c r="J28" s="14">
        <f t="shared" si="1"/>
        <v>0.8418181818181818</v>
      </c>
      <c r="K28" s="17">
        <f t="shared" si="2"/>
        <v>5.2493809071044739E-5</v>
      </c>
      <c r="L28" s="8" t="str" cm="1">
        <f t="array" ref="L28">_xlfn.IFS(I28&gt;5%,"High Risk",AND(I28&gt;2%,I28&lt;5%),"Modrate Risk",I28&lt;2%, "Low Risk")</f>
        <v>Modrate Risk</v>
      </c>
    </row>
    <row r="29" spans="1:12" x14ac:dyDescent="0.25">
      <c r="A29" s="9" t="s">
        <v>191</v>
      </c>
      <c r="B29" s="9">
        <v>350</v>
      </c>
      <c r="C29" s="9">
        <v>6</v>
      </c>
      <c r="D29" s="9">
        <v>292</v>
      </c>
      <c r="E29" s="9">
        <v>52</v>
      </c>
      <c r="F29" s="9">
        <v>54446389</v>
      </c>
      <c r="G29" s="9" t="s">
        <v>195</v>
      </c>
      <c r="H29" s="10">
        <v>43913</v>
      </c>
      <c r="I29" s="15">
        <f t="shared" si="0"/>
        <v>1.7142857142857144E-2</v>
      </c>
      <c r="J29" s="15">
        <f t="shared" si="1"/>
        <v>0.8342857142857143</v>
      </c>
      <c r="K29" s="18">
        <f t="shared" si="2"/>
        <v>6.4283418318155129E-6</v>
      </c>
      <c r="L29" s="9" t="str" cm="1">
        <f t="array" ref="L29">_xlfn.IFS(I29&gt;5%,"High Risk",AND(I29&gt;2%,I29&lt;5%),"Modrate Risk",I29&lt;2%, "Low Risk")</f>
        <v>Low Risk</v>
      </c>
    </row>
    <row r="30" spans="1:12" x14ac:dyDescent="0.25">
      <c r="A30" s="8" t="s">
        <v>32</v>
      </c>
      <c r="B30" s="8">
        <v>378</v>
      </c>
      <c r="C30" s="8">
        <v>1</v>
      </c>
      <c r="D30" s="8">
        <v>301</v>
      </c>
      <c r="E30" s="8">
        <v>76</v>
      </c>
      <c r="F30" s="8">
        <v>11922216</v>
      </c>
      <c r="G30" s="8" t="s">
        <v>197</v>
      </c>
      <c r="H30" s="1">
        <v>43921</v>
      </c>
      <c r="I30" s="14">
        <f t="shared" si="0"/>
        <v>2.6455026455026454E-3</v>
      </c>
      <c r="J30" s="14">
        <f t="shared" si="1"/>
        <v>0.79629629629629628</v>
      </c>
      <c r="K30" s="17">
        <f t="shared" si="2"/>
        <v>3.1705515149197092E-5</v>
      </c>
      <c r="L30" s="8" t="str" cm="1">
        <f t="array" ref="L30">_xlfn.IFS(I30&gt;5%,"High Risk",AND(I30&gt;2%,I30&lt;5%),"Modrate Risk",I30&lt;2%, "Low Risk")</f>
        <v>Low Risk</v>
      </c>
    </row>
    <row r="31" spans="1:12" x14ac:dyDescent="0.25">
      <c r="A31" s="9" t="s">
        <v>33</v>
      </c>
      <c r="B31" s="9">
        <v>2328</v>
      </c>
      <c r="C31" s="9">
        <v>22</v>
      </c>
      <c r="D31" s="9">
        <v>1550</v>
      </c>
      <c r="E31" s="9">
        <v>756</v>
      </c>
      <c r="F31" s="9">
        <v>556581</v>
      </c>
      <c r="G31" s="9" t="s">
        <v>197</v>
      </c>
      <c r="H31" s="10">
        <v>43910</v>
      </c>
      <c r="I31" s="15">
        <f t="shared" si="0"/>
        <v>9.4501718213058413E-3</v>
      </c>
      <c r="J31" s="15">
        <f t="shared" si="1"/>
        <v>0.66580756013745701</v>
      </c>
      <c r="K31" s="18">
        <f t="shared" si="2"/>
        <v>4.1826796099759065E-3</v>
      </c>
      <c r="L31" s="9" t="str" cm="1">
        <f t="array" ref="L31">_xlfn.IFS(I31&gt;5%,"High Risk",AND(I31&gt;2%,I31&lt;5%),"Modrate Risk",I31&lt;2%, "Low Risk")</f>
        <v>Low Risk</v>
      </c>
    </row>
    <row r="32" spans="1:12" x14ac:dyDescent="0.25">
      <c r="A32" s="8" t="s">
        <v>34</v>
      </c>
      <c r="B32" s="8">
        <v>226</v>
      </c>
      <c r="C32" s="8">
        <v>0</v>
      </c>
      <c r="D32" s="8">
        <v>147</v>
      </c>
      <c r="E32" s="8">
        <v>79</v>
      </c>
      <c r="F32" s="8">
        <v>16741375</v>
      </c>
      <c r="G32" s="8" t="s">
        <v>195</v>
      </c>
      <c r="H32" s="1">
        <v>43857</v>
      </c>
      <c r="I32" s="14">
        <f t="shared" si="0"/>
        <v>0</v>
      </c>
      <c r="J32" s="14">
        <f t="shared" si="1"/>
        <v>0.65044247787610621</v>
      </c>
      <c r="K32" s="17">
        <f t="shared" si="2"/>
        <v>1.349948854260776E-5</v>
      </c>
      <c r="L32" s="8" t="str" cm="1">
        <f t="array" ref="L32">_xlfn.IFS(I32&gt;5%,"High Risk",AND(I32&gt;2%,I32&lt;5%),"Modrate Risk",I32&lt;2%, "Low Risk")</f>
        <v>Low Risk</v>
      </c>
    </row>
    <row r="33" spans="1:12" x14ac:dyDescent="0.25">
      <c r="A33" s="9" t="s">
        <v>35</v>
      </c>
      <c r="B33" s="9">
        <v>17110</v>
      </c>
      <c r="C33" s="9">
        <v>391</v>
      </c>
      <c r="D33" s="9">
        <v>14539</v>
      </c>
      <c r="E33" s="9">
        <v>2180</v>
      </c>
      <c r="F33" s="9">
        <v>26606188</v>
      </c>
      <c r="G33" s="9" t="s">
        <v>197</v>
      </c>
      <c r="H33" s="10">
        <v>43896</v>
      </c>
      <c r="I33" s="15">
        <f t="shared" si="0"/>
        <v>2.2852133255406196E-2</v>
      </c>
      <c r="J33" s="15">
        <f t="shared" si="1"/>
        <v>0.84973699590882523</v>
      </c>
      <c r="K33" s="18">
        <f t="shared" si="2"/>
        <v>6.4308348118114476E-4</v>
      </c>
      <c r="L33" s="9" t="str" cm="1">
        <f t="array" ref="L33">_xlfn.IFS(I33&gt;5%,"High Risk",AND(I33&gt;2%,I33&lt;5%),"Modrate Risk",I33&lt;2%, "Low Risk")</f>
        <v>Modrate Risk</v>
      </c>
    </row>
    <row r="34" spans="1:12" x14ac:dyDescent="0.25">
      <c r="A34" s="8" t="s">
        <v>36</v>
      </c>
      <c r="B34" s="8">
        <v>116458</v>
      </c>
      <c r="C34" s="8">
        <v>8944</v>
      </c>
      <c r="D34" s="8">
        <v>0</v>
      </c>
      <c r="E34" s="8">
        <v>107514</v>
      </c>
      <c r="F34" s="8">
        <v>37775022</v>
      </c>
      <c r="G34" s="8" t="s">
        <v>198</v>
      </c>
      <c r="H34" s="1">
        <v>43855</v>
      </c>
      <c r="I34" s="14">
        <f t="shared" si="0"/>
        <v>7.6800219821738305E-2</v>
      </c>
      <c r="J34" s="14">
        <f t="shared" si="1"/>
        <v>0</v>
      </c>
      <c r="K34" s="17">
        <f t="shared" si="2"/>
        <v>3.0829366558674672E-3</v>
      </c>
      <c r="L34" s="8" t="str" cm="1">
        <f t="array" ref="L34">_xlfn.IFS(I34&gt;5%,"High Risk",AND(I34&gt;2%,I34&lt;5%),"Modrate Risk",I34&lt;2%, "Low Risk")</f>
        <v>High Risk</v>
      </c>
    </row>
    <row r="35" spans="1:12" x14ac:dyDescent="0.25">
      <c r="A35" s="9" t="s">
        <v>37</v>
      </c>
      <c r="B35" s="9">
        <v>4599</v>
      </c>
      <c r="C35" s="9">
        <v>59</v>
      </c>
      <c r="D35" s="9">
        <v>1546</v>
      </c>
      <c r="E35" s="9">
        <v>2994</v>
      </c>
      <c r="F35" s="9">
        <v>4837752</v>
      </c>
      <c r="G35" s="9" t="s">
        <v>197</v>
      </c>
      <c r="H35" s="10">
        <v>43904</v>
      </c>
      <c r="I35" s="15">
        <f t="shared" si="0"/>
        <v>1.2828875842574472E-2</v>
      </c>
      <c r="J35" s="15">
        <f t="shared" si="1"/>
        <v>0.33616003479017176</v>
      </c>
      <c r="K35" s="18">
        <f t="shared" si="2"/>
        <v>9.5064815228229974E-4</v>
      </c>
      <c r="L35" s="9" t="str" cm="1">
        <f t="array" ref="L35">_xlfn.IFS(I35&gt;5%,"High Risk",AND(I35&gt;2%,I35&lt;5%),"Modrate Risk",I35&lt;2%, "Low Risk")</f>
        <v>Low Risk</v>
      </c>
    </row>
    <row r="36" spans="1:12" x14ac:dyDescent="0.25">
      <c r="A36" s="8" t="s">
        <v>38</v>
      </c>
      <c r="B36" s="8">
        <v>922</v>
      </c>
      <c r="C36" s="8">
        <v>75</v>
      </c>
      <c r="D36" s="8">
        <v>810</v>
      </c>
      <c r="E36" s="8">
        <v>37</v>
      </c>
      <c r="F36" s="11">
        <v>17224679</v>
      </c>
      <c r="G36" s="8" t="s">
        <v>197</v>
      </c>
      <c r="H36" s="1">
        <v>43909</v>
      </c>
      <c r="I36" s="14">
        <f t="shared" si="0"/>
        <v>8.1344902386117135E-2</v>
      </c>
      <c r="J36" s="14">
        <f t="shared" si="1"/>
        <v>0.87852494577006512</v>
      </c>
      <c r="K36" s="17">
        <f t="shared" si="2"/>
        <v>5.3527848037110008E-5</v>
      </c>
      <c r="L36" s="8" t="str" cm="1">
        <f t="array" ref="L36">_xlfn.IFS(I36&gt;5%,"High Risk",AND(I36&gt;2%,I36&lt;5%),"Modrate Risk",I36&lt;2%, "Low Risk")</f>
        <v>High Risk</v>
      </c>
    </row>
    <row r="37" spans="1:12" x14ac:dyDescent="0.25">
      <c r="A37" s="9" t="s">
        <v>39</v>
      </c>
      <c r="B37" s="9">
        <v>347923</v>
      </c>
      <c r="C37" s="9">
        <v>9187</v>
      </c>
      <c r="D37" s="9">
        <v>319954</v>
      </c>
      <c r="E37" s="9">
        <v>18782</v>
      </c>
      <c r="F37" s="9">
        <v>19132514</v>
      </c>
      <c r="G37" s="9" t="s">
        <v>199</v>
      </c>
      <c r="H37" s="10">
        <v>43893</v>
      </c>
      <c r="I37" s="15">
        <f t="shared" si="0"/>
        <v>2.6405267832250241E-2</v>
      </c>
      <c r="J37" s="15">
        <f t="shared" si="1"/>
        <v>0.91961152323933748</v>
      </c>
      <c r="K37" s="18">
        <f t="shared" si="2"/>
        <v>1.8184907639424697E-2</v>
      </c>
      <c r="L37" s="9" t="str" cm="1">
        <f t="array" ref="L37">_xlfn.IFS(I37&gt;5%,"High Risk",AND(I37&gt;2%,I37&lt;5%),"Modrate Risk",I37&lt;2%, "Low Risk")</f>
        <v>Modrate Risk</v>
      </c>
    </row>
    <row r="38" spans="1:12" x14ac:dyDescent="0.25">
      <c r="A38" s="8" t="s">
        <v>40</v>
      </c>
      <c r="B38" s="8">
        <v>86783</v>
      </c>
      <c r="C38" s="8">
        <v>4656</v>
      </c>
      <c r="D38" s="8">
        <v>78869</v>
      </c>
      <c r="E38" s="8">
        <v>3258</v>
      </c>
      <c r="F38" s="11">
        <v>1411778724</v>
      </c>
      <c r="G38" s="8" t="s">
        <v>197</v>
      </c>
      <c r="H38" s="1">
        <v>43786</v>
      </c>
      <c r="I38" s="14">
        <f t="shared" si="0"/>
        <v>5.365106069161011E-2</v>
      </c>
      <c r="J38" s="14">
        <f t="shared" si="1"/>
        <v>0.90880702441722461</v>
      </c>
      <c r="K38" s="17">
        <f t="shared" si="2"/>
        <v>6.1470681293536756E-5</v>
      </c>
      <c r="L38" s="8" t="str" cm="1">
        <f t="array" ref="L38">_xlfn.IFS(I38&gt;5%,"High Risk",AND(I38&gt;2%,I38&lt;5%),"Modrate Risk",I38&lt;2%, "Low Risk")</f>
        <v>High Risk</v>
      </c>
    </row>
    <row r="39" spans="1:12" x14ac:dyDescent="0.25">
      <c r="A39" s="9" t="s">
        <v>41</v>
      </c>
      <c r="B39" s="9">
        <v>257101</v>
      </c>
      <c r="C39" s="9">
        <v>8777</v>
      </c>
      <c r="D39" s="9">
        <v>131161</v>
      </c>
      <c r="E39" s="9">
        <v>117163</v>
      </c>
      <c r="F39" s="9">
        <v>50936262</v>
      </c>
      <c r="G39" s="9" t="s">
        <v>199</v>
      </c>
      <c r="H39" s="10">
        <v>43896</v>
      </c>
      <c r="I39" s="15">
        <f t="shared" si="0"/>
        <v>3.4138334740043796E-2</v>
      </c>
      <c r="J39" s="15">
        <f t="shared" si="1"/>
        <v>0.51015359722443709</v>
      </c>
      <c r="K39" s="18">
        <f t="shared" si="2"/>
        <v>5.0475042711222119E-3</v>
      </c>
      <c r="L39" s="9" t="str" cm="1">
        <f t="array" ref="L39">_xlfn.IFS(I39&gt;5%,"High Risk",AND(I39&gt;2%,I39&lt;5%),"Modrate Risk",I39&lt;2%, "Low Risk")</f>
        <v>Modrate Risk</v>
      </c>
    </row>
    <row r="40" spans="1:12" x14ac:dyDescent="0.25">
      <c r="A40" s="8" t="s">
        <v>42</v>
      </c>
      <c r="B40" s="8">
        <v>354</v>
      </c>
      <c r="C40" s="8">
        <v>7</v>
      </c>
      <c r="D40" s="8">
        <v>328</v>
      </c>
      <c r="E40" s="8">
        <v>19</v>
      </c>
      <c r="F40" s="8">
        <v>871326</v>
      </c>
      <c r="G40" s="8" t="s">
        <v>197</v>
      </c>
      <c r="H40" s="1">
        <v>43951</v>
      </c>
      <c r="I40" s="14">
        <f t="shared" si="0"/>
        <v>1.977401129943503E-2</v>
      </c>
      <c r="J40" s="14">
        <f t="shared" si="1"/>
        <v>0.92655367231638419</v>
      </c>
      <c r="K40" s="17">
        <f t="shared" si="2"/>
        <v>4.0627732903643414E-4</v>
      </c>
      <c r="L40" s="8" t="str" cm="1">
        <f t="array" ref="L40">_xlfn.IFS(I40&gt;5%,"High Risk",AND(I40&gt;2%,I40&lt;5%),"Modrate Risk",I40&lt;2%, "Low Risk")</f>
        <v>Low Risk</v>
      </c>
    </row>
    <row r="41" spans="1:12" x14ac:dyDescent="0.25">
      <c r="A41" s="9" t="s">
        <v>43</v>
      </c>
      <c r="B41" s="9">
        <v>3200</v>
      </c>
      <c r="C41" s="9">
        <v>54</v>
      </c>
      <c r="D41" s="9">
        <v>829</v>
      </c>
      <c r="E41" s="9">
        <v>2317</v>
      </c>
      <c r="F41" s="9">
        <v>5530506</v>
      </c>
      <c r="G41" s="9" t="s">
        <v>197</v>
      </c>
      <c r="H41" s="10">
        <v>43904</v>
      </c>
      <c r="I41" s="15">
        <f t="shared" si="0"/>
        <v>1.6875000000000001E-2</v>
      </c>
      <c r="J41" s="15">
        <f t="shared" si="1"/>
        <v>0.25906249999999997</v>
      </c>
      <c r="K41" s="18">
        <f t="shared" si="2"/>
        <v>5.7860890124701071E-4</v>
      </c>
      <c r="L41" s="9" t="str" cm="1">
        <f t="array" ref="L41">_xlfn.IFS(I41&gt;5%,"High Risk",AND(I41&gt;2%,I41&lt;5%),"Modrate Risk",I41&lt;2%, "Low Risk")</f>
        <v>Low Risk</v>
      </c>
    </row>
    <row r="42" spans="1:12" x14ac:dyDescent="0.25">
      <c r="A42" s="8" t="s">
        <v>44</v>
      </c>
      <c r="B42" s="8">
        <v>8844</v>
      </c>
      <c r="C42" s="8">
        <v>208</v>
      </c>
      <c r="D42" s="8">
        <v>5700</v>
      </c>
      <c r="E42" s="8">
        <v>2936</v>
      </c>
      <c r="F42" s="11">
        <v>96076573</v>
      </c>
      <c r="G42" s="8" t="s">
        <v>197</v>
      </c>
      <c r="H42" s="1">
        <v>43900</v>
      </c>
      <c r="I42" s="14">
        <f t="shared" si="0"/>
        <v>2.3518769787426504E-2</v>
      </c>
      <c r="J42" s="14">
        <f t="shared" si="1"/>
        <v>0.64450474898236088</v>
      </c>
      <c r="K42" s="17">
        <f t="shared" si="2"/>
        <v>9.2051576402501362E-5</v>
      </c>
      <c r="L42" s="8" t="str" cm="1">
        <f t="array" ref="L42">_xlfn.IFS(I42&gt;5%,"High Risk",AND(I42&gt;2%,I42&lt;5%),"Modrate Risk",I42&lt;2%, "Low Risk")</f>
        <v>Modrate Risk</v>
      </c>
    </row>
    <row r="43" spans="1:12" x14ac:dyDescent="0.25">
      <c r="A43" s="9" t="s">
        <v>45</v>
      </c>
      <c r="B43" s="9">
        <v>15841</v>
      </c>
      <c r="C43" s="9">
        <v>115</v>
      </c>
      <c r="D43" s="9">
        <v>3824</v>
      </c>
      <c r="E43" s="9">
        <v>11902</v>
      </c>
      <c r="F43" s="9">
        <v>5098730</v>
      </c>
      <c r="G43" s="9" t="s">
        <v>198</v>
      </c>
      <c r="H43" s="10">
        <v>43896</v>
      </c>
      <c r="I43" s="15">
        <f t="shared" si="0"/>
        <v>7.2596426993245377E-3</v>
      </c>
      <c r="J43" s="15">
        <f t="shared" si="1"/>
        <v>0.24139890158449592</v>
      </c>
      <c r="K43" s="18">
        <f t="shared" si="2"/>
        <v>3.1068520984637352E-3</v>
      </c>
      <c r="L43" s="9" t="str" cm="1">
        <f t="array" ref="L43">_xlfn.IFS(I43&gt;5%,"High Risk",AND(I43&gt;2%,I43&lt;5%),"Modrate Risk",I43&lt;2%, "Low Risk")</f>
        <v>Low Risk</v>
      </c>
    </row>
    <row r="44" spans="1:12" x14ac:dyDescent="0.25">
      <c r="A44" s="8" t="s">
        <v>46</v>
      </c>
      <c r="B44" s="8">
        <v>15655</v>
      </c>
      <c r="C44" s="8">
        <v>96</v>
      </c>
      <c r="D44" s="8">
        <v>10361</v>
      </c>
      <c r="E44" s="8">
        <v>5198</v>
      </c>
      <c r="F44" s="11">
        <v>26172000</v>
      </c>
      <c r="G44" s="8" t="s">
        <v>197</v>
      </c>
      <c r="H44" s="1">
        <v>43901</v>
      </c>
      <c r="I44" s="14">
        <f t="shared" si="0"/>
        <v>6.1322261258383902E-3</v>
      </c>
      <c r="J44" s="14">
        <f t="shared" si="1"/>
        <v>0.66183328010220377</v>
      </c>
      <c r="K44" s="17">
        <f t="shared" si="2"/>
        <v>5.9815833715421058E-4</v>
      </c>
      <c r="L44" s="8" t="str" cm="1">
        <f t="array" ref="L44">_xlfn.IFS(I44&gt;5%,"High Risk",AND(I44&gt;2%,I44&lt;5%),"Modrate Risk",I44&lt;2%, "Low Risk")</f>
        <v>Low Risk</v>
      </c>
    </row>
    <row r="45" spans="1:12" x14ac:dyDescent="0.25">
      <c r="A45" s="9" t="s">
        <v>47</v>
      </c>
      <c r="B45" s="9">
        <v>4881</v>
      </c>
      <c r="C45" s="9">
        <v>139</v>
      </c>
      <c r="D45" s="9">
        <v>3936</v>
      </c>
      <c r="E45" s="9">
        <v>806</v>
      </c>
      <c r="F45" s="9">
        <v>4102577</v>
      </c>
      <c r="G45" s="9" t="s">
        <v>196</v>
      </c>
      <c r="H45" s="10">
        <v>43886</v>
      </c>
      <c r="I45" s="15">
        <f t="shared" si="0"/>
        <v>2.8477770948576113E-2</v>
      </c>
      <c r="J45" s="15">
        <f t="shared" si="1"/>
        <v>0.80639213275968036</v>
      </c>
      <c r="K45" s="18">
        <f t="shared" si="2"/>
        <v>1.1897400097548444E-3</v>
      </c>
      <c r="L45" s="9" t="str" cm="1">
        <f t="array" ref="L45">_xlfn.IFS(I45&gt;5%,"High Risk",AND(I45&gt;2%,I45&lt;5%),"Modrate Risk",I45&lt;2%, "Low Risk")</f>
        <v>Modrate Risk</v>
      </c>
    </row>
    <row r="46" spans="1:12" x14ac:dyDescent="0.25">
      <c r="A46" s="8" t="s">
        <v>48</v>
      </c>
      <c r="B46" s="8">
        <v>2532</v>
      </c>
      <c r="C46" s="8">
        <v>87</v>
      </c>
      <c r="D46" s="8">
        <v>2351</v>
      </c>
      <c r="E46" s="8">
        <v>94</v>
      </c>
      <c r="F46" s="8">
        <v>11325899</v>
      </c>
      <c r="G46" s="8" t="s">
        <v>198</v>
      </c>
      <c r="H46" s="1">
        <v>43901</v>
      </c>
      <c r="I46" s="14">
        <f t="shared" si="0"/>
        <v>3.4360189573459717E-2</v>
      </c>
      <c r="J46" s="14">
        <f t="shared" si="1"/>
        <v>0.92851500789889418</v>
      </c>
      <c r="K46" s="17">
        <f t="shared" si="2"/>
        <v>2.2355841244920161E-4</v>
      </c>
      <c r="L46" s="8" t="str" cm="1">
        <f t="array" ref="L46">_xlfn.IFS(I46&gt;5%,"High Risk",AND(I46&gt;2%,I46&lt;5%),"Modrate Risk",I46&lt;2%, "Low Risk")</f>
        <v>Modrate Risk</v>
      </c>
    </row>
    <row r="47" spans="1:12" x14ac:dyDescent="0.25">
      <c r="A47" s="9" t="s">
        <v>49</v>
      </c>
      <c r="B47" s="9">
        <v>1060</v>
      </c>
      <c r="C47" s="9">
        <v>19</v>
      </c>
      <c r="D47" s="9">
        <v>852</v>
      </c>
      <c r="E47" s="9">
        <v>189</v>
      </c>
      <c r="F47" s="9">
        <v>1208238</v>
      </c>
      <c r="G47" s="9" t="s">
        <v>195</v>
      </c>
      <c r="H47" s="10">
        <v>43899</v>
      </c>
      <c r="I47" s="15">
        <f t="shared" si="0"/>
        <v>1.7924528301886792E-2</v>
      </c>
      <c r="J47" s="15">
        <f t="shared" si="1"/>
        <v>0.80377358490566042</v>
      </c>
      <c r="K47" s="18">
        <f t="shared" si="2"/>
        <v>8.7731059609116749E-4</v>
      </c>
      <c r="L47" s="9" t="str" cm="1">
        <f t="array" ref="L47">_xlfn.IFS(I47&gt;5%,"High Risk",AND(I47&gt;2%,I47&lt;5%),"Modrate Risk",I47&lt;2%, "Low Risk")</f>
        <v>Low Risk</v>
      </c>
    </row>
    <row r="48" spans="1:12" x14ac:dyDescent="0.25">
      <c r="A48" s="8" t="s">
        <v>50</v>
      </c>
      <c r="B48" s="8">
        <v>15516</v>
      </c>
      <c r="C48" s="8">
        <v>373</v>
      </c>
      <c r="D48" s="8">
        <v>11428</v>
      </c>
      <c r="E48" s="8">
        <v>3715</v>
      </c>
      <c r="F48" s="8">
        <v>10711019</v>
      </c>
      <c r="G48" s="8" t="s">
        <v>196</v>
      </c>
      <c r="H48" s="1">
        <v>43891</v>
      </c>
      <c r="I48" s="14">
        <f t="shared" si="0"/>
        <v>2.4039700953854087E-2</v>
      </c>
      <c r="J48" s="14">
        <f t="shared" si="1"/>
        <v>0.7365300335137922</v>
      </c>
      <c r="K48" s="17">
        <f t="shared" si="2"/>
        <v>1.4486016689915311E-3</v>
      </c>
      <c r="L48" s="8" t="str" cm="1">
        <f t="array" ref="L48">_xlfn.IFS(I48&gt;5%,"High Risk",AND(I48&gt;2%,I48&lt;5%),"Modrate Risk",I48&lt;2%, "Low Risk")</f>
        <v>Modrate Risk</v>
      </c>
    </row>
    <row r="49" spans="1:12" x14ac:dyDescent="0.25">
      <c r="A49" s="9" t="s">
        <v>51</v>
      </c>
      <c r="B49" s="9">
        <v>13761</v>
      </c>
      <c r="C49" s="9">
        <v>613</v>
      </c>
      <c r="D49" s="9">
        <v>12605</v>
      </c>
      <c r="E49" s="9">
        <v>543</v>
      </c>
      <c r="F49" s="9">
        <v>5794279</v>
      </c>
      <c r="G49" s="9" t="s">
        <v>196</v>
      </c>
      <c r="H49" s="10">
        <v>43888</v>
      </c>
      <c r="I49" s="15">
        <f t="shared" si="0"/>
        <v>4.454618123682872E-2</v>
      </c>
      <c r="J49" s="15">
        <f t="shared" si="1"/>
        <v>0.91599447714555626</v>
      </c>
      <c r="K49" s="18">
        <f t="shared" si="2"/>
        <v>2.3749287875160997E-3</v>
      </c>
      <c r="L49" s="9" t="str" cm="1">
        <f t="array" ref="L49">_xlfn.IFS(I49&gt;5%,"High Risk",AND(I49&gt;2%,I49&lt;5%),"Modrate Risk",I49&lt;2%, "Low Risk")</f>
        <v>Modrate Risk</v>
      </c>
    </row>
    <row r="50" spans="1:12" x14ac:dyDescent="0.25">
      <c r="A50" s="8" t="s">
        <v>52</v>
      </c>
      <c r="B50" s="8">
        <v>5059</v>
      </c>
      <c r="C50" s="8">
        <v>58</v>
      </c>
      <c r="D50" s="8">
        <v>4977</v>
      </c>
      <c r="E50" s="8">
        <v>24</v>
      </c>
      <c r="F50" s="8">
        <v>989387</v>
      </c>
      <c r="G50" s="8" t="s">
        <v>197</v>
      </c>
      <c r="H50" s="1">
        <v>43908</v>
      </c>
      <c r="I50" s="14">
        <f t="shared" si="0"/>
        <v>1.1464716347104172E-2</v>
      </c>
      <c r="J50" s="14">
        <f t="shared" si="1"/>
        <v>0.98379126309547338</v>
      </c>
      <c r="K50" s="17">
        <f t="shared" si="2"/>
        <v>5.1132671037723357E-3</v>
      </c>
      <c r="L50" s="8" t="str" cm="1">
        <f t="array" ref="L50">_xlfn.IFS(I50&gt;5%,"High Risk",AND(I50&gt;2%,I50&lt;5%),"Modrate Risk",I50&lt;2%, "Low Risk")</f>
        <v>Low Risk</v>
      </c>
    </row>
    <row r="51" spans="1:12" x14ac:dyDescent="0.25">
      <c r="A51" s="9" t="s">
        <v>53</v>
      </c>
      <c r="B51" s="9">
        <v>18</v>
      </c>
      <c r="C51" s="9">
        <v>0</v>
      </c>
      <c r="D51" s="9">
        <v>18</v>
      </c>
      <c r="E51" s="9">
        <v>0</v>
      </c>
      <c r="F51" s="9">
        <v>72004</v>
      </c>
      <c r="G51" s="9" t="s">
        <v>198</v>
      </c>
      <c r="H51" s="10">
        <v>43912</v>
      </c>
      <c r="I51" s="15">
        <f t="shared" si="0"/>
        <v>0</v>
      </c>
      <c r="J51" s="15">
        <f t="shared" si="1"/>
        <v>1</v>
      </c>
      <c r="K51" s="18">
        <f t="shared" si="2"/>
        <v>2.4998611188267316E-4</v>
      </c>
      <c r="L51" s="9" t="str" cm="1">
        <f t="array" ref="L51">_xlfn.IFS(I51&gt;5%,"High Risk",AND(I51&gt;2%,I51&lt;5%),"Modrate Risk",I51&lt;2%, "Low Risk")</f>
        <v>Low Risk</v>
      </c>
    </row>
    <row r="52" spans="1:12" x14ac:dyDescent="0.25">
      <c r="A52" s="8" t="s">
        <v>54</v>
      </c>
      <c r="B52" s="8">
        <v>64156</v>
      </c>
      <c r="C52" s="8">
        <v>1083</v>
      </c>
      <c r="D52" s="8">
        <v>30204</v>
      </c>
      <c r="E52" s="8">
        <v>32869</v>
      </c>
      <c r="F52" s="8">
        <v>10858648</v>
      </c>
      <c r="G52" s="8" t="s">
        <v>198</v>
      </c>
      <c r="H52" s="1">
        <v>43891</v>
      </c>
      <c r="I52" s="14">
        <f t="shared" si="0"/>
        <v>1.688072822495168E-2</v>
      </c>
      <c r="J52" s="14">
        <f t="shared" si="1"/>
        <v>0.47078994949809838</v>
      </c>
      <c r="K52" s="17">
        <f t="shared" si="2"/>
        <v>5.9082861881147638E-3</v>
      </c>
      <c r="L52" s="8" t="str" cm="1">
        <f t="array" ref="L52">_xlfn.IFS(I52&gt;5%,"High Risk",AND(I52&gt;2%,I52&lt;5%),"Modrate Risk",I52&lt;2%, "Low Risk")</f>
        <v>Low Risk</v>
      </c>
    </row>
    <row r="53" spans="1:12" x14ac:dyDescent="0.25">
      <c r="A53" s="9" t="s">
        <v>55</v>
      </c>
      <c r="B53" s="9">
        <v>81161</v>
      </c>
      <c r="C53" s="9">
        <v>5532</v>
      </c>
      <c r="D53" s="9">
        <v>34896</v>
      </c>
      <c r="E53" s="9">
        <v>40733</v>
      </c>
      <c r="F53" s="9">
        <v>17668824</v>
      </c>
      <c r="G53" s="9" t="s">
        <v>199</v>
      </c>
      <c r="H53" s="10">
        <v>43890</v>
      </c>
      <c r="I53" s="15">
        <f t="shared" si="0"/>
        <v>6.8160816155542689E-2</v>
      </c>
      <c r="J53" s="15">
        <f t="shared" si="1"/>
        <v>0.42996020256034301</v>
      </c>
      <c r="K53" s="18">
        <f t="shared" si="2"/>
        <v>4.5934579460410038E-3</v>
      </c>
      <c r="L53" s="9" t="str" cm="1">
        <f t="array" ref="L53">_xlfn.IFS(I53&gt;5%,"High Risk",AND(I53&gt;2%,I53&lt;5%),"Modrate Risk",I53&lt;2%, "Low Risk")</f>
        <v>High Risk</v>
      </c>
    </row>
    <row r="54" spans="1:12" x14ac:dyDescent="0.25">
      <c r="A54" s="8" t="s">
        <v>56</v>
      </c>
      <c r="B54" s="8">
        <v>92482</v>
      </c>
      <c r="C54" s="8">
        <v>4652</v>
      </c>
      <c r="D54" s="8">
        <v>34838</v>
      </c>
      <c r="E54" s="8">
        <v>52992</v>
      </c>
      <c r="F54" s="8">
        <v>102516525</v>
      </c>
      <c r="G54" s="8" t="s">
        <v>197</v>
      </c>
      <c r="H54" s="1">
        <v>43875</v>
      </c>
      <c r="I54" s="14">
        <f t="shared" si="0"/>
        <v>5.0301680326982547E-2</v>
      </c>
      <c r="J54" s="14">
        <f t="shared" si="1"/>
        <v>0.37670033087519733</v>
      </c>
      <c r="K54" s="17">
        <f t="shared" si="2"/>
        <v>9.0211797561417541E-4</v>
      </c>
      <c r="L54" s="8" t="str" cm="1">
        <f t="array" ref="L54">_xlfn.IFS(I54&gt;5%,"High Risk",AND(I54&gt;2%,I54&lt;5%),"Modrate Risk",I54&lt;2%, "Low Risk")</f>
        <v>High Risk</v>
      </c>
    </row>
    <row r="55" spans="1:12" x14ac:dyDescent="0.25">
      <c r="A55" s="9" t="s">
        <v>57</v>
      </c>
      <c r="B55" s="9">
        <v>15035</v>
      </c>
      <c r="C55" s="9">
        <v>408</v>
      </c>
      <c r="D55" s="9">
        <v>7778</v>
      </c>
      <c r="E55" s="9">
        <v>6849</v>
      </c>
      <c r="F55" s="9">
        <v>6489514</v>
      </c>
      <c r="G55" s="9" t="s">
        <v>198</v>
      </c>
      <c r="H55" s="10">
        <v>43909</v>
      </c>
      <c r="I55" s="15">
        <f t="shared" si="0"/>
        <v>2.7136681077485868E-2</v>
      </c>
      <c r="J55" s="15">
        <f t="shared" si="1"/>
        <v>0.51732623877618888</v>
      </c>
      <c r="K55" s="18">
        <f t="shared" si="2"/>
        <v>2.3168144794818227E-3</v>
      </c>
      <c r="L55" s="9" t="str" cm="1">
        <f t="array" ref="L55">_xlfn.IFS(I55&gt;5%,"High Risk",AND(I55&gt;2%,I55&lt;5%),"Modrate Risk",I55&lt;2%, "Low Risk")</f>
        <v>Modrate Risk</v>
      </c>
    </row>
    <row r="56" spans="1:12" x14ac:dyDescent="0.25">
      <c r="A56" s="8" t="s">
        <v>58</v>
      </c>
      <c r="B56" s="8">
        <v>3071</v>
      </c>
      <c r="C56" s="8">
        <v>51</v>
      </c>
      <c r="D56" s="8">
        <v>842</v>
      </c>
      <c r="E56" s="8">
        <v>2178</v>
      </c>
      <c r="F56" s="8">
        <v>1407001</v>
      </c>
      <c r="G56" s="8" t="s">
        <v>197</v>
      </c>
      <c r="H56" s="1">
        <v>43904</v>
      </c>
      <c r="I56" s="14">
        <f t="shared" si="0"/>
        <v>1.6606968414197329E-2</v>
      </c>
      <c r="J56" s="14">
        <f t="shared" si="1"/>
        <v>0.27417779225008143</v>
      </c>
      <c r="K56" s="17">
        <f t="shared" si="2"/>
        <v>2.1826565865980196E-3</v>
      </c>
      <c r="L56" s="8" t="str" cm="1">
        <f t="array" ref="L56">_xlfn.IFS(I56&gt;5%,"High Risk",AND(I56&gt;2%,I56&lt;5%),"Modrate Risk",I56&lt;2%, "Low Risk")</f>
        <v>Low Risk</v>
      </c>
    </row>
    <row r="57" spans="1:12" x14ac:dyDescent="0.25">
      <c r="A57" s="9" t="s">
        <v>59</v>
      </c>
      <c r="B57" s="9">
        <v>265</v>
      </c>
      <c r="C57" s="9">
        <v>0</v>
      </c>
      <c r="D57" s="9">
        <v>191</v>
      </c>
      <c r="E57" s="9">
        <v>74</v>
      </c>
      <c r="F57" s="9">
        <v>3551175</v>
      </c>
      <c r="G57" s="9" t="s">
        <v>197</v>
      </c>
      <c r="H57" s="10">
        <v>43911</v>
      </c>
      <c r="I57" s="15">
        <f t="shared" si="0"/>
        <v>0</v>
      </c>
      <c r="J57" s="15">
        <f t="shared" si="1"/>
        <v>0.72075471698113203</v>
      </c>
      <c r="K57" s="18">
        <f t="shared" si="2"/>
        <v>7.4623188099713479E-5</v>
      </c>
      <c r="L57" s="9" t="str" cm="1">
        <f t="array" ref="L57">_xlfn.IFS(I57&gt;5%,"High Risk",AND(I57&gt;2%,I57&lt;5%),"Modrate Risk",I57&lt;2%, "Low Risk")</f>
        <v>Low Risk</v>
      </c>
    </row>
    <row r="58" spans="1:12" x14ac:dyDescent="0.25">
      <c r="A58" s="8" t="s">
        <v>60</v>
      </c>
      <c r="B58" s="8">
        <v>2034</v>
      </c>
      <c r="C58" s="8">
        <v>69</v>
      </c>
      <c r="D58" s="8">
        <v>1923</v>
      </c>
      <c r="E58" s="8">
        <v>42</v>
      </c>
      <c r="F58" s="8">
        <v>1326627</v>
      </c>
      <c r="G58" s="8" t="s">
        <v>196</v>
      </c>
      <c r="H58" s="1">
        <v>43888</v>
      </c>
      <c r="I58" s="14">
        <f t="shared" si="0"/>
        <v>3.3923303834808259E-2</v>
      </c>
      <c r="J58" s="14">
        <f t="shared" si="1"/>
        <v>0.94542772861356927</v>
      </c>
      <c r="K58" s="17">
        <f t="shared" si="2"/>
        <v>1.5332116714042456E-3</v>
      </c>
      <c r="L58" s="8" t="str" cm="1">
        <f t="array" ref="L58">_xlfn.IFS(I58&gt;5%,"High Risk",AND(I58&gt;2%,I58&lt;5%),"Modrate Risk",I58&lt;2%, "Low Risk")</f>
        <v>Modrate Risk</v>
      </c>
    </row>
    <row r="59" spans="1:12" x14ac:dyDescent="0.25">
      <c r="A59" s="9" t="s">
        <v>61</v>
      </c>
      <c r="B59" s="9">
        <v>2316</v>
      </c>
      <c r="C59" s="9">
        <v>34</v>
      </c>
      <c r="D59" s="9">
        <v>1025</v>
      </c>
      <c r="E59" s="9">
        <v>1257</v>
      </c>
      <c r="F59" s="9">
        <v>1161348</v>
      </c>
      <c r="G59" s="9" t="s">
        <v>197</v>
      </c>
      <c r="H59" s="10">
        <v>43904</v>
      </c>
      <c r="I59" s="15">
        <f t="shared" si="0"/>
        <v>1.468048359240069E-2</v>
      </c>
      <c r="J59" s="15">
        <f t="shared" si="1"/>
        <v>0.442573402417962</v>
      </c>
      <c r="K59" s="18">
        <f t="shared" si="2"/>
        <v>1.9942342863637774E-3</v>
      </c>
      <c r="L59" s="9" t="str" cm="1">
        <f t="array" ref="L59">_xlfn.IFS(I59&gt;5%,"High Risk",AND(I59&gt;2%,I59&lt;5%),"Modrate Risk",I59&lt;2%, "Low Risk")</f>
        <v>Low Risk</v>
      </c>
    </row>
    <row r="60" spans="1:12" x14ac:dyDescent="0.25">
      <c r="A60" s="8" t="s">
        <v>62</v>
      </c>
      <c r="B60" s="8">
        <v>14547</v>
      </c>
      <c r="C60" s="8">
        <v>228</v>
      </c>
      <c r="D60" s="8">
        <v>6386</v>
      </c>
      <c r="E60" s="8">
        <v>7933</v>
      </c>
      <c r="F60" s="8">
        <v>115223736</v>
      </c>
      <c r="G60" s="8" t="s">
        <v>197</v>
      </c>
      <c r="H60" s="1">
        <v>43903</v>
      </c>
      <c r="I60" s="14">
        <f t="shared" si="0"/>
        <v>1.5673334708187256E-2</v>
      </c>
      <c r="J60" s="14">
        <f t="shared" si="1"/>
        <v>0.43899085722142023</v>
      </c>
      <c r="K60" s="17">
        <f t="shared" si="2"/>
        <v>1.2625002890029533E-4</v>
      </c>
      <c r="L60" s="8" t="str" cm="1">
        <f t="array" ref="L60">_xlfn.IFS(I60&gt;5%,"High Risk",AND(I60&gt;2%,I60&lt;5%),"Modrate Risk",I60&lt;2%, "Low Risk")</f>
        <v>Low Risk</v>
      </c>
    </row>
    <row r="61" spans="1:12" x14ac:dyDescent="0.25">
      <c r="A61" s="9" t="s">
        <v>63</v>
      </c>
      <c r="B61" s="9">
        <v>27</v>
      </c>
      <c r="C61" s="9">
        <v>0</v>
      </c>
      <c r="D61" s="9">
        <v>18</v>
      </c>
      <c r="E61" s="9">
        <v>9</v>
      </c>
      <c r="F61" s="9">
        <v>897095</v>
      </c>
      <c r="G61" s="9" t="s">
        <v>200</v>
      </c>
      <c r="H61" s="10">
        <v>43909</v>
      </c>
      <c r="I61" s="15">
        <f t="shared" si="0"/>
        <v>0</v>
      </c>
      <c r="J61" s="15">
        <f t="shared" si="1"/>
        <v>0.66666666666666663</v>
      </c>
      <c r="K61" s="18">
        <f t="shared" si="2"/>
        <v>3.0097146901944609E-5</v>
      </c>
      <c r="L61" s="9" t="str" cm="1">
        <f t="array" ref="L61">_xlfn.IFS(I61&gt;5%,"High Risk",AND(I61&gt;2%,I61&lt;5%),"Modrate Risk",I61&lt;2%, "Low Risk")</f>
        <v>Low Risk</v>
      </c>
    </row>
    <row r="62" spans="1:12" x14ac:dyDescent="0.25">
      <c r="A62" s="8" t="s">
        <v>64</v>
      </c>
      <c r="B62" s="8">
        <v>7398</v>
      </c>
      <c r="C62" s="8">
        <v>329</v>
      </c>
      <c r="D62" s="8">
        <v>6920</v>
      </c>
      <c r="E62" s="8">
        <v>149</v>
      </c>
      <c r="F62" s="8">
        <v>5541604</v>
      </c>
      <c r="G62" s="8" t="s">
        <v>196</v>
      </c>
      <c r="H62" s="1">
        <v>43887</v>
      </c>
      <c r="I62" s="14">
        <f t="shared" si="0"/>
        <v>4.4471478778048121E-2</v>
      </c>
      <c r="J62" s="14">
        <f t="shared" si="1"/>
        <v>0.93538794268721281</v>
      </c>
      <c r="K62" s="17">
        <f t="shared" si="2"/>
        <v>1.334992540066017E-3</v>
      </c>
      <c r="L62" s="8" t="str" cm="1">
        <f t="array" ref="L62">_xlfn.IFS(I62&gt;5%,"High Risk",AND(I62&gt;2%,I62&lt;5%),"Modrate Risk",I62&lt;2%, "Low Risk")</f>
        <v>Modrate Risk</v>
      </c>
    </row>
    <row r="63" spans="1:12" x14ac:dyDescent="0.25">
      <c r="A63" s="9" t="s">
        <v>65</v>
      </c>
      <c r="B63" s="9">
        <v>220352</v>
      </c>
      <c r="C63" s="9">
        <v>30212</v>
      </c>
      <c r="D63" s="9">
        <v>81212</v>
      </c>
      <c r="E63" s="9">
        <v>108928</v>
      </c>
      <c r="F63" s="9">
        <v>65288306</v>
      </c>
      <c r="G63" s="9" t="s">
        <v>196</v>
      </c>
      <c r="H63" s="10">
        <v>43826</v>
      </c>
      <c r="I63" s="15">
        <f t="shared" si="0"/>
        <v>0.13710790008713331</v>
      </c>
      <c r="J63" s="15">
        <f t="shared" si="1"/>
        <v>0.36855576532094103</v>
      </c>
      <c r="K63" s="18">
        <f t="shared" si="2"/>
        <v>3.3750607650932158E-3</v>
      </c>
      <c r="L63" s="9" t="str" cm="1">
        <f t="array" ref="L63">_xlfn.IFS(I63&gt;5%,"High Risk",AND(I63&gt;2%,I63&lt;5%),"Modrate Risk",I63&lt;2%, "Low Risk")</f>
        <v>High Risk</v>
      </c>
    </row>
    <row r="64" spans="1:12" x14ac:dyDescent="0.25">
      <c r="A64" s="8" t="s">
        <v>66</v>
      </c>
      <c r="B64" s="8">
        <v>7189</v>
      </c>
      <c r="C64" s="8">
        <v>49</v>
      </c>
      <c r="D64" s="8">
        <v>4682</v>
      </c>
      <c r="E64" s="8">
        <v>2458</v>
      </c>
      <c r="F64" s="8">
        <v>2230563</v>
      </c>
      <c r="G64" s="8" t="s">
        <v>197</v>
      </c>
      <c r="H64" s="1">
        <v>43902</v>
      </c>
      <c r="I64" s="14">
        <f t="shared" si="0"/>
        <v>6.815968841285297E-3</v>
      </c>
      <c r="J64" s="14">
        <f t="shared" si="1"/>
        <v>0.65127277785505633</v>
      </c>
      <c r="K64" s="17">
        <f t="shared" si="2"/>
        <v>3.2229531288737417E-3</v>
      </c>
      <c r="L64" s="8" t="str" cm="1">
        <f t="array" ref="L64">_xlfn.IFS(I64&gt;5%,"High Risk",AND(I64&gt;2%,I64&lt;5%),"Modrate Risk",I64&lt;2%, "Low Risk")</f>
        <v>Low Risk</v>
      </c>
    </row>
    <row r="65" spans="1:12" x14ac:dyDescent="0.25">
      <c r="A65" s="9" t="s">
        <v>67</v>
      </c>
      <c r="B65" s="9">
        <v>326</v>
      </c>
      <c r="C65" s="9">
        <v>8</v>
      </c>
      <c r="D65" s="9">
        <v>66</v>
      </c>
      <c r="E65" s="9">
        <v>252</v>
      </c>
      <c r="F65" s="9">
        <v>2422754</v>
      </c>
      <c r="G65" s="9" t="s">
        <v>197</v>
      </c>
      <c r="H65" s="10">
        <v>43907</v>
      </c>
      <c r="I65" s="15">
        <f t="shared" si="0"/>
        <v>2.4539877300613498E-2</v>
      </c>
      <c r="J65" s="15">
        <f t="shared" si="1"/>
        <v>0.20245398773006135</v>
      </c>
      <c r="K65" s="18">
        <f t="shared" si="2"/>
        <v>1.345576150116768E-4</v>
      </c>
      <c r="L65" s="9" t="str" cm="1">
        <f t="array" ref="L65">_xlfn.IFS(I65&gt;5%,"High Risk",AND(I65&gt;2%,I65&lt;5%),"Modrate Risk",I65&lt;2%, "Low Risk")</f>
        <v>Modrate Risk</v>
      </c>
    </row>
    <row r="66" spans="1:12" x14ac:dyDescent="0.25">
      <c r="A66" s="8" t="s">
        <v>68</v>
      </c>
      <c r="B66" s="8">
        <v>1137</v>
      </c>
      <c r="C66" s="8">
        <v>16</v>
      </c>
      <c r="D66" s="8">
        <v>922</v>
      </c>
      <c r="E66" s="8">
        <v>199</v>
      </c>
      <c r="F66" s="8">
        <v>3988368</v>
      </c>
      <c r="G66" s="8" t="s">
        <v>195</v>
      </c>
      <c r="H66" s="1">
        <v>43887</v>
      </c>
      <c r="I66" s="14">
        <f t="shared" ref="I66:I129" si="3">C66/B66</f>
        <v>1.4072119613016711E-2</v>
      </c>
      <c r="J66" s="14">
        <f t="shared" ref="J66:J129" si="4">D66/B66</f>
        <v>0.81090589270008795</v>
      </c>
      <c r="K66" s="17">
        <f t="shared" ref="K66:K129" si="5">B66/F66</f>
        <v>2.8507900976038319E-4</v>
      </c>
      <c r="L66" s="8" t="str" cm="1">
        <f t="array" ref="L66">_xlfn.IFS(I66&gt;5%,"High Risk",AND(I66&gt;2%,I66&lt;5%),"Modrate Risk",I66&lt;2%, "Low Risk")</f>
        <v>Low Risk</v>
      </c>
    </row>
    <row r="67" spans="1:12" x14ac:dyDescent="0.25">
      <c r="A67" s="9" t="s">
        <v>69</v>
      </c>
      <c r="B67" s="9">
        <v>207112</v>
      </c>
      <c r="C67" s="9">
        <v>9125</v>
      </c>
      <c r="D67" s="9">
        <v>190314</v>
      </c>
      <c r="E67" s="9">
        <v>7673</v>
      </c>
      <c r="F67" s="9">
        <v>83811260</v>
      </c>
      <c r="G67" s="9" t="s">
        <v>196</v>
      </c>
      <c r="H67" s="10">
        <v>43857</v>
      </c>
      <c r="I67" s="15">
        <f t="shared" si="3"/>
        <v>4.4058287303487965E-2</v>
      </c>
      <c r="J67" s="15">
        <f t="shared" si="4"/>
        <v>0.91889412491791878</v>
      </c>
      <c r="K67" s="18">
        <f t="shared" si="5"/>
        <v>2.4711715347078664E-3</v>
      </c>
      <c r="L67" s="9" t="str" cm="1">
        <f t="array" ref="L67">_xlfn.IFS(I67&gt;5%,"High Risk",AND(I67&gt;2%,I67&lt;5%),"Modrate Risk",I67&lt;2%, "Low Risk")</f>
        <v>Modrate Risk</v>
      </c>
    </row>
    <row r="68" spans="1:12" x14ac:dyDescent="0.25">
      <c r="A68" s="8" t="s">
        <v>70</v>
      </c>
      <c r="B68" s="8">
        <v>33624</v>
      </c>
      <c r="C68" s="8">
        <v>168</v>
      </c>
      <c r="D68" s="8">
        <v>29801</v>
      </c>
      <c r="E68" s="8">
        <v>3655</v>
      </c>
      <c r="F68" s="8">
        <v>31133483</v>
      </c>
      <c r="G68" s="8" t="s">
        <v>197</v>
      </c>
      <c r="H68" s="1">
        <v>43902</v>
      </c>
      <c r="I68" s="14">
        <f t="shared" si="3"/>
        <v>4.9964311206281229E-3</v>
      </c>
      <c r="J68" s="14">
        <f t="shared" si="4"/>
        <v>0.88630145134427785</v>
      </c>
      <c r="K68" s="17">
        <f t="shared" si="5"/>
        <v>1.0799948081620036E-3</v>
      </c>
      <c r="L68" s="8" t="str" cm="1">
        <f t="array" ref="L68">_xlfn.IFS(I68&gt;5%,"High Risk",AND(I68&gt;2%,I68&lt;5%),"Modrate Risk",I68&lt;2%, "Low Risk")</f>
        <v>Low Risk</v>
      </c>
    </row>
    <row r="69" spans="1:12" x14ac:dyDescent="0.25">
      <c r="A69" s="9" t="s">
        <v>71</v>
      </c>
      <c r="B69" s="9">
        <v>4227</v>
      </c>
      <c r="C69" s="9">
        <v>202</v>
      </c>
      <c r="D69" s="9">
        <v>1374</v>
      </c>
      <c r="E69" s="9">
        <v>2651</v>
      </c>
      <c r="F69" s="9">
        <v>10417673</v>
      </c>
      <c r="G69" s="9" t="s">
        <v>196</v>
      </c>
      <c r="H69" s="10">
        <v>43887</v>
      </c>
      <c r="I69" s="15">
        <f t="shared" si="3"/>
        <v>4.7788029335225926E-2</v>
      </c>
      <c r="J69" s="15">
        <f t="shared" si="4"/>
        <v>0.32505322924059615</v>
      </c>
      <c r="K69" s="18">
        <f t="shared" si="5"/>
        <v>4.0575280103339776E-4</v>
      </c>
      <c r="L69" s="9" t="str" cm="1">
        <f t="array" ref="L69">_xlfn.IFS(I69&gt;5%,"High Risk",AND(I69&gt;2%,I69&lt;5%),"Modrate Risk",I69&lt;2%, "Low Risk")</f>
        <v>Modrate Risk</v>
      </c>
    </row>
    <row r="70" spans="1:12" x14ac:dyDescent="0.25">
      <c r="A70" s="8" t="s">
        <v>72</v>
      </c>
      <c r="B70" s="8">
        <v>14</v>
      </c>
      <c r="C70" s="8">
        <v>0</v>
      </c>
      <c r="D70" s="8">
        <v>13</v>
      </c>
      <c r="E70" s="8">
        <v>1</v>
      </c>
      <c r="F70" s="8">
        <v>56780</v>
      </c>
      <c r="G70" s="8" t="s">
        <v>198</v>
      </c>
      <c r="H70" s="1">
        <v>43898</v>
      </c>
      <c r="I70" s="14">
        <f t="shared" si="3"/>
        <v>0</v>
      </c>
      <c r="J70" s="14">
        <f t="shared" si="4"/>
        <v>0.9285714285714286</v>
      </c>
      <c r="K70" s="17">
        <f t="shared" si="5"/>
        <v>2.4656569214512151E-4</v>
      </c>
      <c r="L70" s="8" t="str" cm="1">
        <f t="array" ref="L70">_xlfn.IFS(I70&gt;5%,"High Risk",AND(I70&gt;2%,I70&lt;5%),"Modrate Risk",I70&lt;2%, "Low Risk")</f>
        <v>Low Risk</v>
      </c>
    </row>
    <row r="71" spans="1:12" x14ac:dyDescent="0.25">
      <c r="A71" s="9" t="s">
        <v>73</v>
      </c>
      <c r="B71" s="9">
        <v>23</v>
      </c>
      <c r="C71" s="9">
        <v>0</v>
      </c>
      <c r="D71" s="9">
        <v>23</v>
      </c>
      <c r="E71" s="9">
        <v>0</v>
      </c>
      <c r="F71" s="9">
        <v>112576</v>
      </c>
      <c r="G71" s="9" t="s">
        <v>198</v>
      </c>
      <c r="H71" s="10">
        <v>43912</v>
      </c>
      <c r="I71" s="15">
        <f t="shared" si="3"/>
        <v>0</v>
      </c>
      <c r="J71" s="15">
        <f t="shared" si="4"/>
        <v>1</v>
      </c>
      <c r="K71" s="18">
        <f t="shared" si="5"/>
        <v>2.0430642410460489E-4</v>
      </c>
      <c r="L71" s="9" t="str" cm="1">
        <f t="array" ref="L71">_xlfn.IFS(I71&gt;5%,"High Risk",AND(I71&gt;2%,I71&lt;5%),"Modrate Risk",I71&lt;2%, "Low Risk")</f>
        <v>Low Risk</v>
      </c>
    </row>
    <row r="72" spans="1:12" x14ac:dyDescent="0.25">
      <c r="A72" s="8" t="s">
        <v>74</v>
      </c>
      <c r="B72" s="8">
        <v>45309</v>
      </c>
      <c r="C72" s="8">
        <v>1761</v>
      </c>
      <c r="D72" s="8">
        <v>32455</v>
      </c>
      <c r="E72" s="8">
        <v>11093</v>
      </c>
      <c r="F72" s="8">
        <v>17946899</v>
      </c>
      <c r="G72" s="8" t="s">
        <v>198</v>
      </c>
      <c r="H72" s="1">
        <v>43903</v>
      </c>
      <c r="I72" s="14">
        <f t="shared" si="3"/>
        <v>3.8866450374097861E-2</v>
      </c>
      <c r="J72" s="14">
        <f t="shared" si="4"/>
        <v>0.71630360414045779</v>
      </c>
      <c r="K72" s="17">
        <f t="shared" si="5"/>
        <v>2.5246144194604318E-3</v>
      </c>
      <c r="L72" s="8" t="str" cm="1">
        <f t="array" ref="L72">_xlfn.IFS(I72&gt;5%,"High Risk",AND(I72&gt;2%,I72&lt;5%),"Modrate Risk",I72&lt;2%, "Low Risk")</f>
        <v>Modrate Risk</v>
      </c>
    </row>
    <row r="73" spans="1:12" x14ac:dyDescent="0.25">
      <c r="A73" s="9" t="s">
        <v>75</v>
      </c>
      <c r="B73" s="9">
        <v>7055</v>
      </c>
      <c r="C73" s="9">
        <v>45</v>
      </c>
      <c r="D73" s="9">
        <v>6257</v>
      </c>
      <c r="E73" s="9">
        <v>753</v>
      </c>
      <c r="F73" s="9">
        <v>13164905</v>
      </c>
      <c r="G73" s="9" t="s">
        <v>197</v>
      </c>
      <c r="H73" s="10">
        <v>43903</v>
      </c>
      <c r="I73" s="15">
        <f t="shared" si="3"/>
        <v>6.3784549964564135E-3</v>
      </c>
      <c r="J73" s="15">
        <f t="shared" si="4"/>
        <v>0.88688873139617297</v>
      </c>
      <c r="K73" s="18">
        <f t="shared" si="5"/>
        <v>5.3589448613567661E-4</v>
      </c>
      <c r="L73" s="9" t="str" cm="1">
        <f t="array" ref="L73">_xlfn.IFS(I73&gt;5%,"High Risk",AND(I73&gt;2%,I73&lt;5%),"Modrate Risk",I73&lt;2%, "Low Risk")</f>
        <v>Low Risk</v>
      </c>
    </row>
    <row r="74" spans="1:12" x14ac:dyDescent="0.25">
      <c r="A74" s="8" t="s">
        <v>76</v>
      </c>
      <c r="B74" s="8">
        <v>1954</v>
      </c>
      <c r="C74" s="8">
        <v>26</v>
      </c>
      <c r="D74" s="8">
        <v>803</v>
      </c>
      <c r="E74" s="8">
        <v>1125</v>
      </c>
      <c r="F74" s="8">
        <v>1972277</v>
      </c>
      <c r="G74" s="8" t="s">
        <v>197</v>
      </c>
      <c r="H74" s="1">
        <v>43915</v>
      </c>
      <c r="I74" s="14">
        <f t="shared" si="3"/>
        <v>1.3306038894575231E-2</v>
      </c>
      <c r="J74" s="14">
        <f t="shared" si="4"/>
        <v>0.41095189355168882</v>
      </c>
      <c r="K74" s="17">
        <f t="shared" si="5"/>
        <v>9.907330461187754E-4</v>
      </c>
      <c r="L74" s="8" t="str" cm="1">
        <f t="array" ref="L74">_xlfn.IFS(I74&gt;5%,"High Risk",AND(I74&gt;2%,I74&lt;5%),"Modrate Risk",I74&lt;2%, "Low Risk")</f>
        <v>Low Risk</v>
      </c>
    </row>
    <row r="75" spans="1:12" x14ac:dyDescent="0.25">
      <c r="A75" s="9" t="s">
        <v>77</v>
      </c>
      <c r="B75" s="9">
        <v>389</v>
      </c>
      <c r="C75" s="9">
        <v>20</v>
      </c>
      <c r="D75" s="9">
        <v>181</v>
      </c>
      <c r="E75" s="9">
        <v>188</v>
      </c>
      <c r="F75" s="9">
        <v>786936</v>
      </c>
      <c r="G75" s="9" t="s">
        <v>199</v>
      </c>
      <c r="H75" s="10">
        <v>43902</v>
      </c>
      <c r="I75" s="15">
        <f t="shared" si="3"/>
        <v>5.1413881748071981E-2</v>
      </c>
      <c r="J75" s="15">
        <f t="shared" si="4"/>
        <v>0.4652956298200514</v>
      </c>
      <c r="K75" s="18">
        <f t="shared" si="5"/>
        <v>4.943222828794209E-4</v>
      </c>
      <c r="L75" s="9" t="str" cm="1">
        <f t="array" ref="L75">_xlfn.IFS(I75&gt;5%,"High Risk",AND(I75&gt;2%,I75&lt;5%),"Modrate Risk",I75&lt;2%, "Low Risk")</f>
        <v>High Risk</v>
      </c>
    </row>
    <row r="76" spans="1:12" x14ac:dyDescent="0.25">
      <c r="A76" s="8" t="s">
        <v>78</v>
      </c>
      <c r="B76" s="8">
        <v>7340</v>
      </c>
      <c r="C76" s="8">
        <v>158</v>
      </c>
      <c r="D76" s="8">
        <v>4365</v>
      </c>
      <c r="E76" s="8">
        <v>2817</v>
      </c>
      <c r="F76" s="8">
        <v>11416103</v>
      </c>
      <c r="G76" s="8" t="s">
        <v>198</v>
      </c>
      <c r="H76" s="1">
        <v>43909</v>
      </c>
      <c r="I76" s="14">
        <f t="shared" si="3"/>
        <v>2.1525885558583105E-2</v>
      </c>
      <c r="J76" s="14">
        <f t="shared" si="4"/>
        <v>0.59468664850136244</v>
      </c>
      <c r="K76" s="17">
        <f t="shared" si="5"/>
        <v>6.4295145199723587E-4</v>
      </c>
      <c r="L76" s="8" t="str" cm="1">
        <f t="array" ref="L76">_xlfn.IFS(I76&gt;5%,"High Risk",AND(I76&gt;2%,I76&lt;5%),"Modrate Risk",I76&lt;2%, "Low Risk")</f>
        <v>Modrate Risk</v>
      </c>
    </row>
    <row r="77" spans="1:12" x14ac:dyDescent="0.25">
      <c r="A77" s="9" t="s">
        <v>79</v>
      </c>
      <c r="B77" s="9">
        <v>12</v>
      </c>
      <c r="C77" s="9">
        <v>0</v>
      </c>
      <c r="D77" s="9">
        <v>12</v>
      </c>
      <c r="E77" s="9">
        <v>0</v>
      </c>
      <c r="F77" s="12">
        <v>528</v>
      </c>
      <c r="G77" s="9" t="s">
        <v>196</v>
      </c>
      <c r="H77" s="10">
        <v>43912</v>
      </c>
      <c r="I77" s="15">
        <f t="shared" si="3"/>
        <v>0</v>
      </c>
      <c r="J77" s="15">
        <f t="shared" si="4"/>
        <v>1</v>
      </c>
      <c r="K77" s="18">
        <f t="shared" si="5"/>
        <v>2.2727272727272728E-2</v>
      </c>
      <c r="L77" s="9" t="str" cm="1">
        <f t="array" ref="L77">_xlfn.IFS(I77&gt;5%,"High Risk",AND(I77&gt;2%,I77&lt;5%),"Modrate Risk",I77&lt;2%, "Low Risk")</f>
        <v>Low Risk</v>
      </c>
    </row>
    <row r="78" spans="1:12" x14ac:dyDescent="0.25">
      <c r="A78" s="8" t="s">
        <v>80</v>
      </c>
      <c r="B78" s="8">
        <v>39741</v>
      </c>
      <c r="C78" s="8">
        <v>1166</v>
      </c>
      <c r="D78" s="8">
        <v>5039</v>
      </c>
      <c r="E78" s="8">
        <v>33536</v>
      </c>
      <c r="F78" s="11">
        <v>10012084</v>
      </c>
      <c r="G78" s="8" t="s">
        <v>198</v>
      </c>
      <c r="H78" s="1">
        <v>43907</v>
      </c>
      <c r="I78" s="14">
        <f t="shared" si="3"/>
        <v>2.9339976346845827E-2</v>
      </c>
      <c r="J78" s="14">
        <f t="shared" si="4"/>
        <v>0.12679600412672051</v>
      </c>
      <c r="K78" s="17">
        <f t="shared" si="5"/>
        <v>3.9693034936582631E-3</v>
      </c>
      <c r="L78" s="8" t="str" cm="1">
        <f t="array" ref="L78">_xlfn.IFS(I78&gt;5%,"High Risk",AND(I78&gt;2%,I78&lt;5%),"Modrate Risk",I78&lt;2%, "Low Risk")</f>
        <v>Modrate Risk</v>
      </c>
    </row>
    <row r="79" spans="1:12" x14ac:dyDescent="0.25">
      <c r="A79" s="9" t="s">
        <v>81</v>
      </c>
      <c r="B79" s="9">
        <v>4448</v>
      </c>
      <c r="C79" s="9">
        <v>596</v>
      </c>
      <c r="D79" s="9">
        <v>3329</v>
      </c>
      <c r="E79" s="9">
        <v>523</v>
      </c>
      <c r="F79" s="9">
        <v>9657785</v>
      </c>
      <c r="G79" s="9" t="s">
        <v>196</v>
      </c>
      <c r="H79" s="10">
        <v>43894</v>
      </c>
      <c r="I79" s="15">
        <f t="shared" si="3"/>
        <v>0.13399280575539568</v>
      </c>
      <c r="J79" s="15">
        <f t="shared" si="4"/>
        <v>0.74842625899280579</v>
      </c>
      <c r="K79" s="18">
        <f t="shared" si="5"/>
        <v>4.6056109138896753E-4</v>
      </c>
      <c r="L79" s="9" t="str" cm="1">
        <f t="array" ref="L79">_xlfn.IFS(I79&gt;5%,"High Risk",AND(I79&gt;2%,I79&lt;5%),"Modrate Risk",I79&lt;2%, "Low Risk")</f>
        <v>High Risk</v>
      </c>
    </row>
    <row r="80" spans="1:12" x14ac:dyDescent="0.25">
      <c r="A80" s="8" t="s">
        <v>82</v>
      </c>
      <c r="B80" s="8">
        <v>1854</v>
      </c>
      <c r="C80" s="8">
        <v>10</v>
      </c>
      <c r="D80" s="8">
        <v>1823</v>
      </c>
      <c r="E80" s="8">
        <v>21</v>
      </c>
      <c r="F80" s="8">
        <v>341465</v>
      </c>
      <c r="G80" s="8" t="s">
        <v>196</v>
      </c>
      <c r="H80" s="1">
        <v>43889</v>
      </c>
      <c r="I80" s="14">
        <f t="shared" si="3"/>
        <v>5.3937432578209281E-3</v>
      </c>
      <c r="J80" s="14">
        <f t="shared" si="4"/>
        <v>0.98327939590075508</v>
      </c>
      <c r="K80" s="17">
        <f t="shared" si="5"/>
        <v>5.4295462199639788E-3</v>
      </c>
      <c r="L80" s="8" t="str" cm="1">
        <f t="array" ref="L80">_xlfn.IFS(I80&gt;5%,"High Risk",AND(I80&gt;2%,I80&lt;5%),"Modrate Risk",I80&lt;2%, "Low Risk")</f>
        <v>Low Risk</v>
      </c>
    </row>
    <row r="81" spans="1:12" x14ac:dyDescent="0.25">
      <c r="A81" s="9" t="s">
        <v>83</v>
      </c>
      <c r="B81" s="9">
        <v>1480073</v>
      </c>
      <c r="C81" s="9">
        <v>33408</v>
      </c>
      <c r="D81" s="9">
        <v>951166</v>
      </c>
      <c r="E81" s="9">
        <v>495499</v>
      </c>
      <c r="F81" s="9">
        <v>1381344997</v>
      </c>
      <c r="G81" s="9" t="s">
        <v>195</v>
      </c>
      <c r="H81" s="10">
        <v>43860</v>
      </c>
      <c r="I81" s="15">
        <f t="shared" si="3"/>
        <v>2.2571859631247918E-2</v>
      </c>
      <c r="J81" s="15">
        <f t="shared" si="4"/>
        <v>0.64264803154979522</v>
      </c>
      <c r="K81" s="18">
        <f t="shared" si="5"/>
        <v>1.0714723716482247E-3</v>
      </c>
      <c r="L81" s="9" t="str" cm="1">
        <f t="array" ref="L81">_xlfn.IFS(I81&gt;5%,"High Risk",AND(I81&gt;2%,I81&lt;5%),"Modrate Risk",I81&lt;2%, "Low Risk")</f>
        <v>Modrate Risk</v>
      </c>
    </row>
    <row r="82" spans="1:12" x14ac:dyDescent="0.25">
      <c r="A82" s="8" t="s">
        <v>84</v>
      </c>
      <c r="B82" s="8">
        <v>100303</v>
      </c>
      <c r="C82" s="8">
        <v>4838</v>
      </c>
      <c r="D82" s="8">
        <v>58173</v>
      </c>
      <c r="E82" s="8">
        <v>37292</v>
      </c>
      <c r="F82" s="8">
        <v>273808365</v>
      </c>
      <c r="G82" s="8" t="s">
        <v>195</v>
      </c>
      <c r="H82" s="1">
        <v>43892</v>
      </c>
      <c r="I82" s="14">
        <f t="shared" si="3"/>
        <v>4.8233851430166598E-2</v>
      </c>
      <c r="J82" s="14">
        <f t="shared" si="4"/>
        <v>0.57997268277120329</v>
      </c>
      <c r="K82" s="17">
        <f t="shared" si="5"/>
        <v>3.6632555035343787E-4</v>
      </c>
      <c r="L82" s="8" t="str" cm="1">
        <f t="array" ref="L82">_xlfn.IFS(I82&gt;5%,"High Risk",AND(I82&gt;2%,I82&lt;5%),"Modrate Risk",I82&lt;2%, "Low Risk")</f>
        <v>Modrate Risk</v>
      </c>
    </row>
    <row r="83" spans="1:12" x14ac:dyDescent="0.25">
      <c r="A83" s="9" t="s">
        <v>85</v>
      </c>
      <c r="B83" s="9">
        <v>293606</v>
      </c>
      <c r="C83" s="9">
        <v>15912</v>
      </c>
      <c r="D83" s="9">
        <v>255144</v>
      </c>
      <c r="E83" s="9">
        <v>22550</v>
      </c>
      <c r="F83" s="9">
        <v>84097623</v>
      </c>
      <c r="G83" s="9" t="s">
        <v>195</v>
      </c>
      <c r="H83" s="10">
        <v>43880</v>
      </c>
      <c r="I83" s="15">
        <f t="shared" si="3"/>
        <v>5.4195077757266542E-2</v>
      </c>
      <c r="J83" s="15">
        <f t="shared" si="4"/>
        <v>0.86900131468702957</v>
      </c>
      <c r="K83" s="18">
        <f t="shared" si="5"/>
        <v>3.4912520654715772E-3</v>
      </c>
      <c r="L83" s="9" t="str" cm="1">
        <f t="array" ref="L83">_xlfn.IFS(I83&gt;5%,"High Risk",AND(I83&gt;2%,I83&lt;5%),"Modrate Risk",I83&lt;2%, "Low Risk")</f>
        <v>High Risk</v>
      </c>
    </row>
    <row r="84" spans="1:12" x14ac:dyDescent="0.25">
      <c r="A84" s="8" t="s">
        <v>86</v>
      </c>
      <c r="B84" s="8">
        <v>112585</v>
      </c>
      <c r="C84" s="8">
        <v>4458</v>
      </c>
      <c r="D84" s="8">
        <v>77144</v>
      </c>
      <c r="E84" s="8">
        <v>30983</v>
      </c>
      <c r="F84" s="8">
        <v>40306025</v>
      </c>
      <c r="G84" s="8" t="s">
        <v>195</v>
      </c>
      <c r="H84" s="1">
        <v>43883</v>
      </c>
      <c r="I84" s="14">
        <f t="shared" si="3"/>
        <v>3.9596749122884932E-2</v>
      </c>
      <c r="J84" s="14">
        <f t="shared" si="4"/>
        <v>0.68520673269085575</v>
      </c>
      <c r="K84" s="17">
        <f t="shared" si="5"/>
        <v>2.7932548545781927E-3</v>
      </c>
      <c r="L84" s="8" t="str" cm="1">
        <f t="array" ref="L84">_xlfn.IFS(I84&gt;5%,"High Risk",AND(I84&gt;2%,I84&lt;5%),"Modrate Risk",I84&lt;2%, "Low Risk")</f>
        <v>Modrate Risk</v>
      </c>
    </row>
    <row r="85" spans="1:12" x14ac:dyDescent="0.25">
      <c r="A85" s="9" t="s">
        <v>87</v>
      </c>
      <c r="B85" s="9">
        <v>25892</v>
      </c>
      <c r="C85" s="9">
        <v>1764</v>
      </c>
      <c r="D85" s="9">
        <v>23364</v>
      </c>
      <c r="E85" s="9">
        <v>764</v>
      </c>
      <c r="F85" s="9">
        <v>4943200</v>
      </c>
      <c r="G85" s="9" t="s">
        <v>196</v>
      </c>
      <c r="H85" s="10">
        <v>43890</v>
      </c>
      <c r="I85" s="15">
        <f t="shared" si="3"/>
        <v>6.8129151861578863E-2</v>
      </c>
      <c r="J85" s="15">
        <f t="shared" si="4"/>
        <v>0.90236366445234051</v>
      </c>
      <c r="K85" s="18">
        <f t="shared" si="5"/>
        <v>5.2379025732319142E-3</v>
      </c>
      <c r="L85" s="9" t="str" cm="1">
        <f t="array" ref="L85">_xlfn.IFS(I85&gt;5%,"High Risk",AND(I85&gt;2%,I85&lt;5%),"Modrate Risk",I85&lt;2%, "Low Risk")</f>
        <v>High Risk</v>
      </c>
    </row>
    <row r="86" spans="1:12" x14ac:dyDescent="0.25">
      <c r="A86" s="8" t="s">
        <v>88</v>
      </c>
      <c r="B86" s="8">
        <v>63985</v>
      </c>
      <c r="C86" s="8">
        <v>474</v>
      </c>
      <c r="D86" s="8">
        <v>27133</v>
      </c>
      <c r="E86" s="8">
        <v>36378</v>
      </c>
      <c r="F86" s="8">
        <v>9197590</v>
      </c>
      <c r="G86" s="8" t="s">
        <v>195</v>
      </c>
      <c r="H86" s="1">
        <v>43882</v>
      </c>
      <c r="I86" s="14">
        <f t="shared" si="3"/>
        <v>7.407986246776588E-3</v>
      </c>
      <c r="J86" s="14">
        <f t="shared" si="4"/>
        <v>0.42405251230757207</v>
      </c>
      <c r="K86" s="17">
        <f t="shared" si="5"/>
        <v>6.9567136608611607E-3</v>
      </c>
      <c r="L86" s="8" t="str" cm="1">
        <f t="array" ref="L86">_xlfn.IFS(I86&gt;5%,"High Risk",AND(I86&gt;2%,I86&lt;5%),"Modrate Risk",I86&lt;2%, "Low Risk")</f>
        <v>Low Risk</v>
      </c>
    </row>
    <row r="87" spans="1:12" x14ac:dyDescent="0.25">
      <c r="A87" s="9" t="s">
        <v>89</v>
      </c>
      <c r="B87" s="9">
        <v>246286</v>
      </c>
      <c r="C87" s="9">
        <v>35112</v>
      </c>
      <c r="D87" s="9">
        <v>198593</v>
      </c>
      <c r="E87" s="9">
        <v>12581</v>
      </c>
      <c r="F87" s="9">
        <v>60452568</v>
      </c>
      <c r="G87" s="9" t="s">
        <v>196</v>
      </c>
      <c r="H87" s="10">
        <v>43861</v>
      </c>
      <c r="I87" s="15">
        <f t="shared" si="3"/>
        <v>0.14256595990027854</v>
      </c>
      <c r="J87" s="15">
        <f t="shared" si="4"/>
        <v>0.80635115272488078</v>
      </c>
      <c r="K87" s="18">
        <f t="shared" si="5"/>
        <v>4.0740370202304726E-3</v>
      </c>
      <c r="L87" s="9" t="str" cm="1">
        <f t="array" ref="L87">_xlfn.IFS(I87&gt;5%,"High Risk",AND(I87&gt;2%,I87&lt;5%),"Modrate Risk",I87&lt;2%, "Low Risk")</f>
        <v>High Risk</v>
      </c>
    </row>
    <row r="88" spans="1:12" x14ac:dyDescent="0.25">
      <c r="A88" s="8" t="s">
        <v>90</v>
      </c>
      <c r="B88" s="8">
        <v>853</v>
      </c>
      <c r="C88" s="8">
        <v>10</v>
      </c>
      <c r="D88" s="8">
        <v>714</v>
      </c>
      <c r="E88" s="8">
        <v>129</v>
      </c>
      <c r="F88" s="8">
        <v>2962478</v>
      </c>
      <c r="G88" s="8" t="s">
        <v>198</v>
      </c>
      <c r="H88" s="1">
        <v>43900</v>
      </c>
      <c r="I88" s="14">
        <f t="shared" si="3"/>
        <v>1.1723329425556858E-2</v>
      </c>
      <c r="J88" s="14">
        <f t="shared" si="4"/>
        <v>0.83704572098475971</v>
      </c>
      <c r="K88" s="17">
        <f t="shared" si="5"/>
        <v>2.8793462770018881E-4</v>
      </c>
      <c r="L88" s="8" t="str" cm="1">
        <f t="array" ref="L88">_xlfn.IFS(I88&gt;5%,"High Risk",AND(I88&gt;2%,I88&lt;5%),"Modrate Risk",I88&lt;2%, "Low Risk")</f>
        <v>Low Risk</v>
      </c>
    </row>
    <row r="89" spans="1:12" x14ac:dyDescent="0.25">
      <c r="A89" s="9" t="s">
        <v>91</v>
      </c>
      <c r="B89" s="9">
        <v>31142</v>
      </c>
      <c r="C89" s="9">
        <v>998</v>
      </c>
      <c r="D89" s="9">
        <v>21970</v>
      </c>
      <c r="E89" s="9">
        <v>8174</v>
      </c>
      <c r="F89" s="9">
        <v>126435859</v>
      </c>
      <c r="G89" s="9" t="s">
        <v>195</v>
      </c>
      <c r="H89" s="10">
        <v>43846</v>
      </c>
      <c r="I89" s="15">
        <f t="shared" si="3"/>
        <v>3.2046753580373774E-2</v>
      </c>
      <c r="J89" s="15">
        <f t="shared" si="4"/>
        <v>0.70547813242566304</v>
      </c>
      <c r="K89" s="18">
        <f t="shared" si="5"/>
        <v>2.4630670639094564E-4</v>
      </c>
      <c r="L89" s="9" t="str" cm="1">
        <f t="array" ref="L89">_xlfn.IFS(I89&gt;5%,"High Risk",AND(I89&gt;2%,I89&lt;5%),"Modrate Risk",I89&lt;2%, "Low Risk")</f>
        <v>Modrate Risk</v>
      </c>
    </row>
    <row r="90" spans="1:12" x14ac:dyDescent="0.25">
      <c r="A90" s="8" t="s">
        <v>92</v>
      </c>
      <c r="B90" s="8">
        <v>1176</v>
      </c>
      <c r="C90" s="8">
        <v>11</v>
      </c>
      <c r="D90" s="8">
        <v>1041</v>
      </c>
      <c r="E90" s="8">
        <v>124</v>
      </c>
      <c r="F90" s="8">
        <v>10213138</v>
      </c>
      <c r="G90" s="8" t="s">
        <v>195</v>
      </c>
      <c r="H90" s="1">
        <v>43892</v>
      </c>
      <c r="I90" s="14">
        <f t="shared" si="3"/>
        <v>9.3537414965986394E-3</v>
      </c>
      <c r="J90" s="14">
        <f t="shared" si="4"/>
        <v>0.88520408163265307</v>
      </c>
      <c r="K90" s="17">
        <f t="shared" si="5"/>
        <v>1.1514580533426651E-4</v>
      </c>
      <c r="L90" s="8" t="str" cm="1">
        <f t="array" ref="L90">_xlfn.IFS(I90&gt;5%,"High Risk",AND(I90&gt;2%,I90&lt;5%),"Modrate Risk",I90&lt;2%, "Low Risk")</f>
        <v>Low Risk</v>
      </c>
    </row>
    <row r="91" spans="1:12" x14ac:dyDescent="0.25">
      <c r="A91" s="9" t="s">
        <v>93</v>
      </c>
      <c r="B91" s="9">
        <v>84648</v>
      </c>
      <c r="C91" s="9">
        <v>585</v>
      </c>
      <c r="D91" s="9">
        <v>54404</v>
      </c>
      <c r="E91" s="9">
        <v>29659</v>
      </c>
      <c r="F91" s="9">
        <v>18798667</v>
      </c>
      <c r="G91" s="9" t="s">
        <v>195</v>
      </c>
      <c r="H91" s="10">
        <v>43903</v>
      </c>
      <c r="I91" s="15">
        <f t="shared" si="3"/>
        <v>6.9109724978735467E-3</v>
      </c>
      <c r="J91" s="15">
        <f t="shared" si="4"/>
        <v>0.64270862867403833</v>
      </c>
      <c r="K91" s="18">
        <f t="shared" si="5"/>
        <v>4.5028724643082409E-3</v>
      </c>
      <c r="L91" s="9" t="str" cm="1">
        <f t="array" ref="L91">_xlfn.IFS(I91&gt;5%,"High Risk",AND(I91&gt;2%,I91&lt;5%),"Modrate Risk",I91&lt;2%, "Low Risk")</f>
        <v>Low Risk</v>
      </c>
    </row>
    <row r="92" spans="1:12" x14ac:dyDescent="0.25">
      <c r="A92" s="8" t="s">
        <v>94</v>
      </c>
      <c r="B92" s="8">
        <v>17975</v>
      </c>
      <c r="C92" s="8">
        <v>285</v>
      </c>
      <c r="D92" s="8">
        <v>7833</v>
      </c>
      <c r="E92" s="8">
        <v>9857</v>
      </c>
      <c r="F92" s="8">
        <v>53881160</v>
      </c>
      <c r="G92" s="8" t="s">
        <v>197</v>
      </c>
      <c r="H92" s="1">
        <v>43903</v>
      </c>
      <c r="I92" s="14">
        <f t="shared" si="3"/>
        <v>1.5855354659248956E-2</v>
      </c>
      <c r="J92" s="14">
        <f t="shared" si="4"/>
        <v>0.4357719054242003</v>
      </c>
      <c r="K92" s="17">
        <f t="shared" si="5"/>
        <v>3.3360454748932648E-4</v>
      </c>
      <c r="L92" s="8" t="str" cm="1">
        <f t="array" ref="L92">_xlfn.IFS(I92&gt;5%,"High Risk",AND(I92&gt;2%,I92&lt;5%),"Modrate Risk",I92&lt;2%, "Low Risk")</f>
        <v>Low Risk</v>
      </c>
    </row>
    <row r="93" spans="1:12" x14ac:dyDescent="0.25">
      <c r="A93" s="9" t="s">
        <v>95</v>
      </c>
      <c r="B93" s="9">
        <v>7413</v>
      </c>
      <c r="C93" s="9">
        <v>185</v>
      </c>
      <c r="D93" s="9">
        <v>4027</v>
      </c>
      <c r="E93" s="9">
        <v>3201</v>
      </c>
      <c r="F93" s="13">
        <v>1790152</v>
      </c>
      <c r="G93" s="9" t="s">
        <v>196</v>
      </c>
      <c r="H93" s="10">
        <v>43903</v>
      </c>
      <c r="I93" s="15">
        <f t="shared" si="3"/>
        <v>2.4956158100634021E-2</v>
      </c>
      <c r="J93" s="15">
        <f t="shared" si="4"/>
        <v>0.54323485768244972</v>
      </c>
      <c r="K93" s="18">
        <f t="shared" si="5"/>
        <v>4.1409891450558392E-3</v>
      </c>
      <c r="L93" s="9" t="str" cm="1">
        <f t="array" ref="L93">_xlfn.IFS(I93&gt;5%,"High Risk",AND(I93&gt;2%,I93&lt;5%),"Modrate Risk",I93&lt;2%, "Low Risk")</f>
        <v>Modrate Risk</v>
      </c>
    </row>
    <row r="94" spans="1:12" x14ac:dyDescent="0.25">
      <c r="A94" s="8" t="s">
        <v>96</v>
      </c>
      <c r="B94" s="8">
        <v>64379</v>
      </c>
      <c r="C94" s="8">
        <v>438</v>
      </c>
      <c r="D94" s="8">
        <v>55057</v>
      </c>
      <c r="E94" s="8">
        <v>8884</v>
      </c>
      <c r="F94" s="8">
        <v>4276658</v>
      </c>
      <c r="G94" s="8" t="s">
        <v>195</v>
      </c>
      <c r="H94" s="1">
        <v>43885</v>
      </c>
      <c r="I94" s="14">
        <f t="shared" si="3"/>
        <v>6.8034607558365304E-3</v>
      </c>
      <c r="J94" s="14">
        <f t="shared" si="4"/>
        <v>0.85520123021482164</v>
      </c>
      <c r="K94" s="17">
        <f t="shared" si="5"/>
        <v>1.5053576881761413E-2</v>
      </c>
      <c r="L94" s="8" t="str" cm="1">
        <f t="array" ref="L94">_xlfn.IFS(I94&gt;5%,"High Risk",AND(I94&gt;2%,I94&lt;5%),"Modrate Risk",I94&lt;2%, "Low Risk")</f>
        <v>Low Risk</v>
      </c>
    </row>
    <row r="95" spans="1:12" x14ac:dyDescent="0.25">
      <c r="A95" s="9" t="s">
        <v>97</v>
      </c>
      <c r="B95" s="9">
        <v>33296</v>
      </c>
      <c r="C95" s="9">
        <v>1301</v>
      </c>
      <c r="D95" s="9">
        <v>21205</v>
      </c>
      <c r="E95" s="9">
        <v>10790</v>
      </c>
      <c r="F95" s="9">
        <v>6534479</v>
      </c>
      <c r="G95" s="9" t="s">
        <v>195</v>
      </c>
      <c r="H95" s="10">
        <v>43908</v>
      </c>
      <c r="I95" s="15">
        <f t="shared" si="3"/>
        <v>3.9073762614127823E-2</v>
      </c>
      <c r="J95" s="15">
        <f t="shared" si="4"/>
        <v>0.63686328688130711</v>
      </c>
      <c r="K95" s="18">
        <f t="shared" si="5"/>
        <v>5.0954330100379842E-3</v>
      </c>
      <c r="L95" s="9" t="str" cm="1">
        <f t="array" ref="L95">_xlfn.IFS(I95&gt;5%,"High Risk",AND(I95&gt;2%,I95&lt;5%),"Modrate Risk",I95&lt;2%, "Low Risk")</f>
        <v>Modrate Risk</v>
      </c>
    </row>
    <row r="96" spans="1:12" x14ac:dyDescent="0.25">
      <c r="A96" s="8" t="s">
        <v>98</v>
      </c>
      <c r="B96" s="8">
        <v>20</v>
      </c>
      <c r="C96" s="8">
        <v>0</v>
      </c>
      <c r="D96" s="8">
        <v>19</v>
      </c>
      <c r="E96" s="8">
        <v>1</v>
      </c>
      <c r="F96" s="8">
        <v>7285750</v>
      </c>
      <c r="G96" s="8" t="s">
        <v>195</v>
      </c>
      <c r="H96" s="1">
        <v>43914</v>
      </c>
      <c r="I96" s="14">
        <f t="shared" si="3"/>
        <v>0</v>
      </c>
      <c r="J96" s="14">
        <f t="shared" si="4"/>
        <v>0.95</v>
      </c>
      <c r="K96" s="17">
        <f t="shared" si="5"/>
        <v>2.7450845829187114E-6</v>
      </c>
      <c r="L96" s="8" t="str" cm="1">
        <f t="array" ref="L96">_xlfn.IFS(I96&gt;5%,"High Risk",AND(I96&gt;2%,I96&lt;5%),"Modrate Risk",I96&lt;2%, "Low Risk")</f>
        <v>Low Risk</v>
      </c>
    </row>
    <row r="97" spans="1:12" x14ac:dyDescent="0.25">
      <c r="A97" s="9" t="s">
        <v>99</v>
      </c>
      <c r="B97" s="9">
        <v>1219</v>
      </c>
      <c r="C97" s="9">
        <v>31</v>
      </c>
      <c r="D97" s="9">
        <v>1045</v>
      </c>
      <c r="E97" s="9">
        <v>143</v>
      </c>
      <c r="F97" s="9">
        <v>1883936</v>
      </c>
      <c r="G97" s="9" t="s">
        <v>196</v>
      </c>
      <c r="H97" s="10">
        <v>43892</v>
      </c>
      <c r="I97" s="15">
        <f t="shared" si="3"/>
        <v>2.5430680885972109E-2</v>
      </c>
      <c r="J97" s="15">
        <f t="shared" si="4"/>
        <v>0.85726004922067267</v>
      </c>
      <c r="K97" s="18">
        <f t="shared" si="5"/>
        <v>6.4704958130212494E-4</v>
      </c>
      <c r="L97" s="9" t="str" cm="1">
        <f t="array" ref="L97">_xlfn.IFS(I97&gt;5%,"High Risk",AND(I97&gt;2%,I97&lt;5%),"Modrate Risk",I97&lt;2%, "Low Risk")</f>
        <v>Modrate Risk</v>
      </c>
    </row>
    <row r="98" spans="1:12" x14ac:dyDescent="0.25">
      <c r="A98" s="8" t="s">
        <v>100</v>
      </c>
      <c r="B98" s="8">
        <v>3882</v>
      </c>
      <c r="C98" s="8">
        <v>51</v>
      </c>
      <c r="D98" s="8">
        <v>1709</v>
      </c>
      <c r="E98" s="8">
        <v>2122</v>
      </c>
      <c r="F98" s="8">
        <v>6822220</v>
      </c>
      <c r="G98" s="8" t="s">
        <v>195</v>
      </c>
      <c r="H98" s="1">
        <v>43882</v>
      </c>
      <c r="I98" s="14">
        <f t="shared" si="3"/>
        <v>1.3137557959814529E-2</v>
      </c>
      <c r="J98" s="14">
        <f t="shared" si="4"/>
        <v>0.44023699124162802</v>
      </c>
      <c r="K98" s="17">
        <f t="shared" si="5"/>
        <v>5.6902298665243865E-4</v>
      </c>
      <c r="L98" s="8" t="str" cm="1">
        <f t="array" ref="L98">_xlfn.IFS(I98&gt;5%,"High Risk",AND(I98&gt;2%,I98&lt;5%),"Modrate Risk",I98&lt;2%, "Low Risk")</f>
        <v>Low Risk</v>
      </c>
    </row>
    <row r="99" spans="1:12" x14ac:dyDescent="0.25">
      <c r="A99" s="9" t="s">
        <v>101</v>
      </c>
      <c r="B99" s="9">
        <v>505</v>
      </c>
      <c r="C99" s="9">
        <v>12</v>
      </c>
      <c r="D99" s="9">
        <v>128</v>
      </c>
      <c r="E99" s="9">
        <v>365</v>
      </c>
      <c r="F99" s="9">
        <v>2143943</v>
      </c>
      <c r="G99" s="9" t="s">
        <v>197</v>
      </c>
      <c r="H99" s="10">
        <v>43964</v>
      </c>
      <c r="I99" s="15">
        <f t="shared" si="3"/>
        <v>2.3762376237623763E-2</v>
      </c>
      <c r="J99" s="15">
        <f t="shared" si="4"/>
        <v>0.25346534653465347</v>
      </c>
      <c r="K99" s="18">
        <f t="shared" si="5"/>
        <v>2.3554730699463559E-4</v>
      </c>
      <c r="L99" s="9" t="str" cm="1">
        <f t="array" ref="L99">_xlfn.IFS(I99&gt;5%,"High Risk",AND(I99&gt;2%,I99&lt;5%),"Modrate Risk",I99&lt;2%, "Low Risk")</f>
        <v>Modrate Risk</v>
      </c>
    </row>
    <row r="100" spans="1:12" x14ac:dyDescent="0.25">
      <c r="A100" s="8" t="s">
        <v>102</v>
      </c>
      <c r="B100" s="8">
        <v>1167</v>
      </c>
      <c r="C100" s="8">
        <v>72</v>
      </c>
      <c r="D100" s="8">
        <v>646</v>
      </c>
      <c r="E100" s="8">
        <v>449</v>
      </c>
      <c r="F100" s="8">
        <v>5068618</v>
      </c>
      <c r="G100" s="8" t="s">
        <v>197</v>
      </c>
      <c r="H100" s="1">
        <v>43906</v>
      </c>
      <c r="I100" s="14">
        <f t="shared" si="3"/>
        <v>6.1696658097686374E-2</v>
      </c>
      <c r="J100" s="14">
        <f t="shared" si="4"/>
        <v>0.55355612682090827</v>
      </c>
      <c r="K100" s="17">
        <f t="shared" si="5"/>
        <v>2.3024027456793942E-4</v>
      </c>
      <c r="L100" s="8" t="str" cm="1">
        <f t="array" ref="L100">_xlfn.IFS(I100&gt;5%,"High Risk",AND(I100&gt;2%,I100&lt;5%),"Modrate Risk",I100&lt;2%, "Low Risk")</f>
        <v>High Risk</v>
      </c>
    </row>
    <row r="101" spans="1:12" x14ac:dyDescent="0.25">
      <c r="A101" s="9" t="s">
        <v>103</v>
      </c>
      <c r="B101" s="9">
        <v>2827</v>
      </c>
      <c r="C101" s="9">
        <v>64</v>
      </c>
      <c r="D101" s="9">
        <v>577</v>
      </c>
      <c r="E101" s="9">
        <v>2186</v>
      </c>
      <c r="F101" s="9">
        <v>6880353</v>
      </c>
      <c r="G101" s="9" t="s">
        <v>197</v>
      </c>
      <c r="H101" s="10">
        <v>43914</v>
      </c>
      <c r="I101" s="15">
        <f t="shared" si="3"/>
        <v>2.2638839759462327E-2</v>
      </c>
      <c r="J101" s="15">
        <f t="shared" si="4"/>
        <v>0.20410328970640254</v>
      </c>
      <c r="K101" s="18">
        <f t="shared" si="5"/>
        <v>4.1088008129815432E-4</v>
      </c>
      <c r="L101" s="9" t="str" cm="1">
        <f t="array" ref="L101">_xlfn.IFS(I101&gt;5%,"High Risk",AND(I101&gt;2%,I101&lt;5%),"Modrate Risk",I101&lt;2%, "Low Risk")</f>
        <v>Modrate Risk</v>
      </c>
    </row>
    <row r="102" spans="1:12" x14ac:dyDescent="0.25">
      <c r="A102" s="8" t="s">
        <v>104</v>
      </c>
      <c r="B102" s="8">
        <v>86</v>
      </c>
      <c r="C102" s="8">
        <v>1</v>
      </c>
      <c r="D102" s="8">
        <v>81</v>
      </c>
      <c r="E102" s="8">
        <v>4</v>
      </c>
      <c r="F102" s="8">
        <v>38139</v>
      </c>
      <c r="G102" s="8" t="s">
        <v>196</v>
      </c>
      <c r="H102" s="1">
        <v>43893</v>
      </c>
      <c r="I102" s="14">
        <f t="shared" si="3"/>
        <v>1.1627906976744186E-2</v>
      </c>
      <c r="J102" s="14">
        <f t="shared" si="4"/>
        <v>0.94186046511627908</v>
      </c>
      <c r="K102" s="17">
        <f t="shared" si="5"/>
        <v>2.2549096725136999E-3</v>
      </c>
      <c r="L102" s="8" t="str" cm="1">
        <f t="array" ref="L102">_xlfn.IFS(I102&gt;5%,"High Risk",AND(I102&gt;2%,I102&lt;5%),"Modrate Risk",I102&lt;2%, "Low Risk")</f>
        <v>Low Risk</v>
      </c>
    </row>
    <row r="103" spans="1:12" x14ac:dyDescent="0.25">
      <c r="A103" s="9" t="s">
        <v>105</v>
      </c>
      <c r="B103" s="9">
        <v>2019</v>
      </c>
      <c r="C103" s="9">
        <v>80</v>
      </c>
      <c r="D103" s="9">
        <v>1620</v>
      </c>
      <c r="E103" s="9">
        <v>319</v>
      </c>
      <c r="F103" s="9">
        <v>2718121</v>
      </c>
      <c r="G103" s="9" t="s">
        <v>196</v>
      </c>
      <c r="H103" s="10">
        <v>43889</v>
      </c>
      <c r="I103" s="15">
        <f t="shared" si="3"/>
        <v>3.9623576027736501E-2</v>
      </c>
      <c r="J103" s="15">
        <f t="shared" si="4"/>
        <v>0.80237741456166423</v>
      </c>
      <c r="K103" s="18">
        <f t="shared" si="5"/>
        <v>7.4279253940497862E-4</v>
      </c>
      <c r="L103" s="9" t="str" cm="1">
        <f t="array" ref="L103">_xlfn.IFS(I103&gt;5%,"High Risk",AND(I103&gt;2%,I103&lt;5%),"Modrate Risk",I103&lt;2%, "Low Risk")</f>
        <v>Modrate Risk</v>
      </c>
    </row>
    <row r="104" spans="1:12" x14ac:dyDescent="0.25">
      <c r="A104" s="8" t="s">
        <v>106</v>
      </c>
      <c r="B104" s="8">
        <v>6321</v>
      </c>
      <c r="C104" s="8">
        <v>112</v>
      </c>
      <c r="D104" s="8">
        <v>4825</v>
      </c>
      <c r="E104" s="8">
        <v>1384</v>
      </c>
      <c r="F104" s="8">
        <v>626952</v>
      </c>
      <c r="G104" s="8" t="s">
        <v>196</v>
      </c>
      <c r="H104" s="1">
        <v>43890</v>
      </c>
      <c r="I104" s="14">
        <f t="shared" si="3"/>
        <v>1.7718715393133997E-2</v>
      </c>
      <c r="J104" s="14">
        <f t="shared" si="4"/>
        <v>0.763328587248853</v>
      </c>
      <c r="K104" s="17">
        <f t="shared" si="5"/>
        <v>1.0082111549209509E-2</v>
      </c>
      <c r="L104" s="8" t="str" cm="1">
        <f t="array" ref="L104">_xlfn.IFS(I104&gt;5%,"High Risk",AND(I104&gt;2%,I104&lt;5%),"Modrate Risk",I104&lt;2%, "Low Risk")</f>
        <v>Low Risk</v>
      </c>
    </row>
    <row r="105" spans="1:12" x14ac:dyDescent="0.25">
      <c r="A105" s="9" t="s">
        <v>107</v>
      </c>
      <c r="B105" s="9">
        <v>9690</v>
      </c>
      <c r="C105" s="9">
        <v>91</v>
      </c>
      <c r="D105" s="9">
        <v>6260</v>
      </c>
      <c r="E105" s="9">
        <v>3339</v>
      </c>
      <c r="F105" s="9">
        <v>27755708</v>
      </c>
      <c r="G105" s="9" t="s">
        <v>197</v>
      </c>
      <c r="H105" s="10">
        <v>43910</v>
      </c>
      <c r="I105" s="15">
        <f t="shared" si="3"/>
        <v>9.3911248710010324E-3</v>
      </c>
      <c r="J105" s="15">
        <f t="shared" si="4"/>
        <v>0.6460268317853457</v>
      </c>
      <c r="K105" s="18">
        <f t="shared" si="5"/>
        <v>3.491173779461868E-4</v>
      </c>
      <c r="L105" s="9" t="str" cm="1">
        <f t="array" ref="L105">_xlfn.IFS(I105&gt;5%,"High Risk",AND(I105&gt;2%,I105&lt;5%),"Modrate Risk",I105&lt;2%, "Low Risk")</f>
        <v>Low Risk</v>
      </c>
    </row>
    <row r="106" spans="1:12" x14ac:dyDescent="0.25">
      <c r="A106" s="8" t="s">
        <v>108</v>
      </c>
      <c r="B106" s="8">
        <v>3664</v>
      </c>
      <c r="C106" s="8">
        <v>99</v>
      </c>
      <c r="D106" s="8">
        <v>1645</v>
      </c>
      <c r="E106" s="8">
        <v>1920</v>
      </c>
      <c r="F106" s="8">
        <v>19174839</v>
      </c>
      <c r="G106" s="8" t="s">
        <v>197</v>
      </c>
      <c r="H106" s="1">
        <v>43922</v>
      </c>
      <c r="I106" s="14">
        <f t="shared" si="3"/>
        <v>2.7019650655021835E-2</v>
      </c>
      <c r="J106" s="14">
        <f t="shared" si="4"/>
        <v>0.44896288209606988</v>
      </c>
      <c r="K106" s="17">
        <f t="shared" si="5"/>
        <v>1.910837426066524E-4</v>
      </c>
      <c r="L106" s="8" t="str" cm="1">
        <f t="array" ref="L106">_xlfn.IFS(I106&gt;5%,"High Risk",AND(I106&gt;2%,I106&lt;5%),"Modrate Risk",I106&lt;2%, "Low Risk")</f>
        <v>Modrate Risk</v>
      </c>
    </row>
    <row r="107" spans="1:12" x14ac:dyDescent="0.25">
      <c r="A107" s="9" t="s">
        <v>109</v>
      </c>
      <c r="B107" s="9">
        <v>8904</v>
      </c>
      <c r="C107" s="9">
        <v>124</v>
      </c>
      <c r="D107" s="9">
        <v>8601</v>
      </c>
      <c r="E107" s="9">
        <v>179</v>
      </c>
      <c r="F107" s="9">
        <v>32406372</v>
      </c>
      <c r="G107" s="9" t="s">
        <v>195</v>
      </c>
      <c r="H107" s="10">
        <v>43855</v>
      </c>
      <c r="I107" s="15">
        <f t="shared" si="3"/>
        <v>1.3926325247079964E-2</v>
      </c>
      <c r="J107" s="15">
        <f t="shared" si="4"/>
        <v>0.96597035040431267</v>
      </c>
      <c r="K107" s="18">
        <f t="shared" si="5"/>
        <v>2.7476077852837093E-4</v>
      </c>
      <c r="L107" s="9" t="str" cm="1">
        <f t="array" ref="L107">_xlfn.IFS(I107&gt;5%,"High Risk",AND(I107&gt;2%,I107&lt;5%),"Modrate Risk",I107&lt;2%, "Low Risk")</f>
        <v>Low Risk</v>
      </c>
    </row>
    <row r="108" spans="1:12" x14ac:dyDescent="0.25">
      <c r="A108" s="8" t="s">
        <v>110</v>
      </c>
      <c r="B108" s="8">
        <v>3369</v>
      </c>
      <c r="C108" s="8">
        <v>15</v>
      </c>
      <c r="D108" s="8">
        <v>2547</v>
      </c>
      <c r="E108" s="8">
        <v>807</v>
      </c>
      <c r="F108" s="8">
        <v>541448</v>
      </c>
      <c r="G108" s="8" t="s">
        <v>195</v>
      </c>
      <c r="H108" s="1">
        <v>43897</v>
      </c>
      <c r="I108" s="14">
        <f t="shared" si="3"/>
        <v>4.4523597506678537E-3</v>
      </c>
      <c r="J108" s="14">
        <f t="shared" si="4"/>
        <v>0.75601068566340157</v>
      </c>
      <c r="K108" s="17">
        <f t="shared" si="5"/>
        <v>6.2222041636500643E-3</v>
      </c>
      <c r="L108" s="8" t="str" cm="1">
        <f t="array" ref="L108">_xlfn.IFS(I108&gt;5%,"High Risk",AND(I108&gt;2%,I108&lt;5%),"Modrate Risk",I108&lt;2%, "Low Risk")</f>
        <v>Low Risk</v>
      </c>
    </row>
    <row r="109" spans="1:12" x14ac:dyDescent="0.25">
      <c r="A109" s="9" t="s">
        <v>111</v>
      </c>
      <c r="B109" s="9">
        <v>2513</v>
      </c>
      <c r="C109" s="9">
        <v>124</v>
      </c>
      <c r="D109" s="9">
        <v>1913</v>
      </c>
      <c r="E109" s="9">
        <v>476</v>
      </c>
      <c r="F109" s="9">
        <v>20302901</v>
      </c>
      <c r="G109" s="9" t="s">
        <v>197</v>
      </c>
      <c r="H109" s="10">
        <v>43915</v>
      </c>
      <c r="I109" s="15">
        <f t="shared" si="3"/>
        <v>4.9343414245921209E-2</v>
      </c>
      <c r="J109" s="15">
        <f t="shared" si="4"/>
        <v>0.76124154397134902</v>
      </c>
      <c r="K109" s="18">
        <f t="shared" si="5"/>
        <v>1.2377541514880066E-4</v>
      </c>
      <c r="L109" s="9" t="str" cm="1">
        <f t="array" ref="L109">_xlfn.IFS(I109&gt;5%,"High Risk",AND(I109&gt;2%,I109&lt;5%),"Modrate Risk",I109&lt;2%, "Low Risk")</f>
        <v>Modrate Risk</v>
      </c>
    </row>
    <row r="110" spans="1:12" x14ac:dyDescent="0.25">
      <c r="A110" s="8" t="s">
        <v>112</v>
      </c>
      <c r="B110" s="8">
        <v>701</v>
      </c>
      <c r="C110" s="8">
        <v>9</v>
      </c>
      <c r="D110" s="8">
        <v>665</v>
      </c>
      <c r="E110" s="8">
        <v>27</v>
      </c>
      <c r="F110" s="8">
        <v>441663</v>
      </c>
      <c r="G110" s="8" t="s">
        <v>196</v>
      </c>
      <c r="H110" s="1">
        <v>43897</v>
      </c>
      <c r="I110" s="14">
        <f t="shared" si="3"/>
        <v>1.2838801711840228E-2</v>
      </c>
      <c r="J110" s="14">
        <f t="shared" si="4"/>
        <v>0.94864479315263905</v>
      </c>
      <c r="K110" s="17">
        <f t="shared" si="5"/>
        <v>1.5871829879342395E-3</v>
      </c>
      <c r="L110" s="8" t="str" cm="1">
        <f t="array" ref="L110">_xlfn.IFS(I110&gt;5%,"High Risk",AND(I110&gt;2%,I110&lt;5%),"Modrate Risk",I110&lt;2%, "Low Risk")</f>
        <v>Low Risk</v>
      </c>
    </row>
    <row r="111" spans="1:12" x14ac:dyDescent="0.25">
      <c r="A111" s="9" t="s">
        <v>113</v>
      </c>
      <c r="B111" s="9">
        <v>6208</v>
      </c>
      <c r="C111" s="9">
        <v>156</v>
      </c>
      <c r="D111" s="9">
        <v>4653</v>
      </c>
      <c r="E111" s="9">
        <v>1399</v>
      </c>
      <c r="F111" s="9">
        <v>4660728</v>
      </c>
      <c r="G111" s="9" t="s">
        <v>197</v>
      </c>
      <c r="H111" s="10">
        <v>43903</v>
      </c>
      <c r="I111" s="15">
        <f t="shared" si="3"/>
        <v>2.5128865979381444E-2</v>
      </c>
      <c r="J111" s="15">
        <f t="shared" si="4"/>
        <v>0.74951675257731953</v>
      </c>
      <c r="K111" s="18">
        <f t="shared" si="5"/>
        <v>1.3319807549378553E-3</v>
      </c>
      <c r="L111" s="9" t="str" cm="1">
        <f t="array" ref="L111">_xlfn.IFS(I111&gt;5%,"High Risk",AND(I111&gt;2%,I111&lt;5%),"Modrate Risk",I111&lt;2%, "Low Risk")</f>
        <v>Modrate Risk</v>
      </c>
    </row>
    <row r="112" spans="1:12" x14ac:dyDescent="0.25">
      <c r="A112" s="8" t="s">
        <v>114</v>
      </c>
      <c r="B112" s="8">
        <v>344</v>
      </c>
      <c r="C112" s="8">
        <v>10</v>
      </c>
      <c r="D112" s="8">
        <v>332</v>
      </c>
      <c r="E112" s="8">
        <v>2</v>
      </c>
      <c r="F112" s="8">
        <v>1271985</v>
      </c>
      <c r="G112" s="8" t="s">
        <v>197</v>
      </c>
      <c r="H112" s="1">
        <v>43908</v>
      </c>
      <c r="I112" s="14">
        <f t="shared" si="3"/>
        <v>2.9069767441860465E-2</v>
      </c>
      <c r="J112" s="14">
        <f t="shared" si="4"/>
        <v>0.96511627906976749</v>
      </c>
      <c r="K112" s="17">
        <f t="shared" si="5"/>
        <v>2.7044344076384549E-4</v>
      </c>
      <c r="L112" s="8" t="str" cm="1">
        <f t="array" ref="L112">_xlfn.IFS(I112&gt;5%,"High Risk",AND(I112&gt;2%,I112&lt;5%),"Modrate Risk",I112&lt;2%, "Low Risk")</f>
        <v>Modrate Risk</v>
      </c>
    </row>
    <row r="113" spans="1:12" x14ac:dyDescent="0.25">
      <c r="A113" s="9" t="s">
        <v>115</v>
      </c>
      <c r="B113" s="9">
        <v>395489</v>
      </c>
      <c r="C113" s="9">
        <v>44022</v>
      </c>
      <c r="D113" s="9">
        <v>303810</v>
      </c>
      <c r="E113" s="9">
        <v>47657</v>
      </c>
      <c r="F113" s="9">
        <v>129066160</v>
      </c>
      <c r="G113" s="9" t="s">
        <v>198</v>
      </c>
      <c r="H113" s="10">
        <v>43889</v>
      </c>
      <c r="I113" s="15">
        <f t="shared" si="3"/>
        <v>0.11131030193001576</v>
      </c>
      <c r="J113" s="15">
        <f t="shared" si="4"/>
        <v>0.7681882429094109</v>
      </c>
      <c r="K113" s="18">
        <f t="shared" si="5"/>
        <v>3.0642346529872739E-3</v>
      </c>
      <c r="L113" s="9" t="str" cm="1">
        <f t="array" ref="L113">_xlfn.IFS(I113&gt;5%,"High Risk",AND(I113&gt;2%,I113&lt;5%),"Modrate Risk",I113&lt;2%, "Low Risk")</f>
        <v>High Risk</v>
      </c>
    </row>
    <row r="114" spans="1:12" x14ac:dyDescent="0.25">
      <c r="A114" s="8" t="s">
        <v>116</v>
      </c>
      <c r="B114" s="8">
        <v>23154</v>
      </c>
      <c r="C114" s="8">
        <v>748</v>
      </c>
      <c r="D114" s="8">
        <v>16154</v>
      </c>
      <c r="E114" s="8">
        <v>6252</v>
      </c>
      <c r="F114" s="8">
        <v>4032983</v>
      </c>
      <c r="G114" s="8" t="s">
        <v>196</v>
      </c>
      <c r="H114" s="1">
        <v>43897</v>
      </c>
      <c r="I114" s="14">
        <f t="shared" si="3"/>
        <v>3.2305433186490456E-2</v>
      </c>
      <c r="J114" s="14">
        <f t="shared" si="4"/>
        <v>0.69767642739915348</v>
      </c>
      <c r="K114" s="17">
        <f t="shared" si="5"/>
        <v>5.7411598313208854E-3</v>
      </c>
      <c r="L114" s="8" t="str" cm="1">
        <f t="array" ref="L114">_xlfn.IFS(I114&gt;5%,"High Risk",AND(I114&gt;2%,I114&lt;5%),"Modrate Risk",I114&lt;2%, "Low Risk")</f>
        <v>Modrate Risk</v>
      </c>
    </row>
    <row r="115" spans="1:12" x14ac:dyDescent="0.25">
      <c r="A115" s="9" t="s">
        <v>117</v>
      </c>
      <c r="B115" s="9">
        <v>116</v>
      </c>
      <c r="C115" s="9">
        <v>4</v>
      </c>
      <c r="D115" s="9">
        <v>104</v>
      </c>
      <c r="E115" s="9">
        <v>8</v>
      </c>
      <c r="F115" s="9">
        <v>39270</v>
      </c>
      <c r="G115" s="9" t="s">
        <v>196</v>
      </c>
      <c r="H115" s="10">
        <v>43890</v>
      </c>
      <c r="I115" s="15">
        <f t="shared" si="3"/>
        <v>3.4482758620689655E-2</v>
      </c>
      <c r="J115" s="15">
        <f t="shared" si="4"/>
        <v>0.89655172413793105</v>
      </c>
      <c r="K115" s="18">
        <f t="shared" si="5"/>
        <v>2.9539088362617776E-3</v>
      </c>
      <c r="L115" s="9" t="str" cm="1">
        <f t="array" ref="L115">_xlfn.IFS(I115&gt;5%,"High Risk",AND(I115&gt;2%,I115&lt;5%),"Modrate Risk",I115&lt;2%, "Low Risk")</f>
        <v>Modrate Risk</v>
      </c>
    </row>
    <row r="116" spans="1:12" x14ac:dyDescent="0.25">
      <c r="A116" s="8" t="s">
        <v>118</v>
      </c>
      <c r="B116" s="8">
        <v>289</v>
      </c>
      <c r="C116" s="8">
        <v>0</v>
      </c>
      <c r="D116" s="8">
        <v>222</v>
      </c>
      <c r="E116" s="8">
        <v>67</v>
      </c>
      <c r="F116" s="8">
        <v>3283344</v>
      </c>
      <c r="G116" s="8" t="s">
        <v>195</v>
      </c>
      <c r="H116" s="1">
        <v>43900</v>
      </c>
      <c r="I116" s="14">
        <f t="shared" si="3"/>
        <v>0</v>
      </c>
      <c r="J116" s="14">
        <f t="shared" si="4"/>
        <v>0.76816608996539792</v>
      </c>
      <c r="K116" s="17">
        <f t="shared" si="5"/>
        <v>8.8020018615167948E-5</v>
      </c>
      <c r="L116" s="8" t="str" cm="1">
        <f t="array" ref="L116">_xlfn.IFS(I116&gt;5%,"High Risk",AND(I116&gt;2%,I116&lt;5%),"Modrate Risk",I116&lt;2%, "Low Risk")</f>
        <v>Low Risk</v>
      </c>
    </row>
    <row r="117" spans="1:12" x14ac:dyDescent="0.25">
      <c r="A117" s="9" t="s">
        <v>119</v>
      </c>
      <c r="B117" s="9">
        <v>2893</v>
      </c>
      <c r="C117" s="9">
        <v>45</v>
      </c>
      <c r="D117" s="9">
        <v>809</v>
      </c>
      <c r="E117" s="9">
        <v>2039</v>
      </c>
      <c r="F117" s="9">
        <v>628074</v>
      </c>
      <c r="G117" s="9" t="s">
        <v>196</v>
      </c>
      <c r="H117" s="10">
        <v>43907</v>
      </c>
      <c r="I117" s="15">
        <f t="shared" si="3"/>
        <v>1.5554787417905289E-2</v>
      </c>
      <c r="J117" s="15">
        <f t="shared" si="4"/>
        <v>0.27964051157967507</v>
      </c>
      <c r="K117" s="18">
        <f t="shared" si="5"/>
        <v>4.6061451357642573E-3</v>
      </c>
      <c r="L117" s="9" t="str" cm="1">
        <f t="array" ref="L117">_xlfn.IFS(I117&gt;5%,"High Risk",AND(I117&gt;2%,I117&lt;5%),"Modrate Risk",I117&lt;2%, "Low Risk")</f>
        <v>Low Risk</v>
      </c>
    </row>
    <row r="118" spans="1:12" x14ac:dyDescent="0.25">
      <c r="A118" s="8" t="s">
        <v>120</v>
      </c>
      <c r="B118" s="8">
        <v>20887</v>
      </c>
      <c r="C118" s="8">
        <v>316</v>
      </c>
      <c r="D118" s="8">
        <v>16553</v>
      </c>
      <c r="E118" s="8">
        <v>4018</v>
      </c>
      <c r="F118" s="8">
        <v>36953359</v>
      </c>
      <c r="G118" s="8" t="s">
        <v>197</v>
      </c>
      <c r="H118" s="1">
        <v>43892</v>
      </c>
      <c r="I118" s="14">
        <f t="shared" si="3"/>
        <v>1.5129027624838417E-2</v>
      </c>
      <c r="J118" s="14">
        <f t="shared" si="4"/>
        <v>0.79250251352515921</v>
      </c>
      <c r="K118" s="17">
        <f t="shared" si="5"/>
        <v>5.6522601910153822E-4</v>
      </c>
      <c r="L118" s="8" t="str" cm="1">
        <f t="array" ref="L118">_xlfn.IFS(I118&gt;5%,"High Risk",AND(I118&gt;2%,I118&lt;5%),"Modrate Risk",I118&lt;2%, "Low Risk")</f>
        <v>Low Risk</v>
      </c>
    </row>
    <row r="119" spans="1:12" x14ac:dyDescent="0.25">
      <c r="A119" s="9" t="s">
        <v>121</v>
      </c>
      <c r="B119" s="9">
        <v>1701</v>
      </c>
      <c r="C119" s="9">
        <v>11</v>
      </c>
      <c r="D119" s="9">
        <v>0</v>
      </c>
      <c r="E119" s="9">
        <v>1690</v>
      </c>
      <c r="F119" s="9">
        <v>31333962</v>
      </c>
      <c r="G119" s="9" t="s">
        <v>197</v>
      </c>
      <c r="H119" s="10">
        <v>43912</v>
      </c>
      <c r="I119" s="15">
        <f t="shared" si="3"/>
        <v>6.4667842445620223E-3</v>
      </c>
      <c r="J119" s="15">
        <f t="shared" si="4"/>
        <v>0</v>
      </c>
      <c r="K119" s="18">
        <f t="shared" si="5"/>
        <v>5.4286144854583022E-5</v>
      </c>
      <c r="L119" s="9" t="str" cm="1">
        <f t="array" ref="L119">_xlfn.IFS(I119&gt;5%,"High Risk",AND(I119&gt;2%,I119&lt;5%),"Modrate Risk",I119&lt;2%, "Low Risk")</f>
        <v>Low Risk</v>
      </c>
    </row>
    <row r="120" spans="1:12" x14ac:dyDescent="0.25">
      <c r="A120" s="8" t="s">
        <v>122</v>
      </c>
      <c r="B120" s="8">
        <v>1843</v>
      </c>
      <c r="C120" s="8">
        <v>8</v>
      </c>
      <c r="D120" s="8">
        <v>101</v>
      </c>
      <c r="E120" s="8">
        <v>1734</v>
      </c>
      <c r="F120" s="8">
        <v>2545264</v>
      </c>
      <c r="G120" s="8" t="s">
        <v>197</v>
      </c>
      <c r="H120" s="1">
        <v>43904</v>
      </c>
      <c r="I120" s="14">
        <f t="shared" si="3"/>
        <v>4.3407487791644059E-3</v>
      </c>
      <c r="J120" s="14">
        <f t="shared" si="4"/>
        <v>5.4801953336950621E-2</v>
      </c>
      <c r="K120" s="17">
        <f t="shared" si="5"/>
        <v>7.2408991758811663E-4</v>
      </c>
      <c r="L120" s="8" t="str" cm="1">
        <f t="array" ref="L120">_xlfn.IFS(I120&gt;5%,"High Risk",AND(I120&gt;2%,I120&lt;5%),"Modrate Risk",I120&lt;2%, "Low Risk")</f>
        <v>Low Risk</v>
      </c>
    </row>
    <row r="121" spans="1:12" x14ac:dyDescent="0.25">
      <c r="A121" s="9" t="s">
        <v>123</v>
      </c>
      <c r="B121" s="9">
        <v>18752</v>
      </c>
      <c r="C121" s="9">
        <v>48</v>
      </c>
      <c r="D121" s="9">
        <v>13754</v>
      </c>
      <c r="E121" s="9">
        <v>4950</v>
      </c>
      <c r="F121" s="9">
        <v>29186486</v>
      </c>
      <c r="G121" s="9" t="s">
        <v>195</v>
      </c>
      <c r="H121" s="10">
        <v>43843</v>
      </c>
      <c r="I121" s="15">
        <f t="shared" si="3"/>
        <v>2.5597269624573378E-3</v>
      </c>
      <c r="J121" s="15">
        <f t="shared" si="4"/>
        <v>0.73346843003412965</v>
      </c>
      <c r="K121" s="18">
        <f t="shared" si="5"/>
        <v>6.4248913007204774E-4</v>
      </c>
      <c r="L121" s="9" t="str" cm="1">
        <f t="array" ref="L121">_xlfn.IFS(I121&gt;5%,"High Risk",AND(I121&gt;2%,I121&lt;5%),"Modrate Risk",I121&lt;2%, "Low Risk")</f>
        <v>Low Risk</v>
      </c>
    </row>
    <row r="122" spans="1:12" x14ac:dyDescent="0.25">
      <c r="A122" s="8" t="s">
        <v>124</v>
      </c>
      <c r="B122" s="8">
        <v>53413</v>
      </c>
      <c r="C122" s="8">
        <v>6160</v>
      </c>
      <c r="D122" s="8">
        <v>189</v>
      </c>
      <c r="E122" s="8">
        <v>47064</v>
      </c>
      <c r="F122" s="8">
        <v>17138756</v>
      </c>
      <c r="G122" s="8" t="s">
        <v>196</v>
      </c>
      <c r="H122" s="1">
        <v>43888</v>
      </c>
      <c r="I122" s="14">
        <f t="shared" si="3"/>
        <v>0.11532772920450078</v>
      </c>
      <c r="J122" s="14">
        <f t="shared" si="4"/>
        <v>3.5384644187744555E-3</v>
      </c>
      <c r="K122" s="17">
        <f t="shared" si="5"/>
        <v>3.1165039049508613E-3</v>
      </c>
      <c r="L122" s="8" t="str" cm="1">
        <f t="array" ref="L122">_xlfn.IFS(I122&gt;5%,"High Risk",AND(I122&gt;2%,I122&lt;5%),"Modrate Risk",I122&lt;2%, "Low Risk")</f>
        <v>High Risk</v>
      </c>
    </row>
    <row r="123" spans="1:12" x14ac:dyDescent="0.25">
      <c r="A123" s="9" t="s">
        <v>125</v>
      </c>
      <c r="B123" s="9">
        <v>1557</v>
      </c>
      <c r="C123" s="9">
        <v>22</v>
      </c>
      <c r="D123" s="9">
        <v>1514</v>
      </c>
      <c r="E123" s="9">
        <v>21</v>
      </c>
      <c r="F123" s="9">
        <v>5002100</v>
      </c>
      <c r="G123" s="9" t="s">
        <v>200</v>
      </c>
      <c r="H123" s="10">
        <v>43889</v>
      </c>
      <c r="I123" s="15">
        <f t="shared" si="3"/>
        <v>1.4129736673089274E-2</v>
      </c>
      <c r="J123" s="15">
        <f t="shared" si="4"/>
        <v>0.97238278741168915</v>
      </c>
      <c r="K123" s="18">
        <f t="shared" si="5"/>
        <v>3.112692669078987E-4</v>
      </c>
      <c r="L123" s="9" t="str" cm="1">
        <f t="array" ref="L123">_xlfn.IFS(I123&gt;5%,"High Risk",AND(I123&gt;2%,I123&lt;5%),"Modrate Risk",I123&lt;2%, "Low Risk")</f>
        <v>Low Risk</v>
      </c>
    </row>
    <row r="124" spans="1:12" x14ac:dyDescent="0.25">
      <c r="A124" s="8" t="s">
        <v>126</v>
      </c>
      <c r="B124" s="8">
        <v>3439</v>
      </c>
      <c r="C124" s="8">
        <v>108</v>
      </c>
      <c r="D124" s="8">
        <v>2492</v>
      </c>
      <c r="E124" s="8">
        <v>839</v>
      </c>
      <c r="F124" s="8">
        <v>6632263</v>
      </c>
      <c r="G124" s="8" t="s">
        <v>198</v>
      </c>
      <c r="H124" s="1">
        <v>43908</v>
      </c>
      <c r="I124" s="14">
        <f t="shared" si="3"/>
        <v>3.1404478045943589E-2</v>
      </c>
      <c r="J124" s="14">
        <f t="shared" si="4"/>
        <v>0.72462925268973544</v>
      </c>
      <c r="K124" s="17">
        <f t="shared" si="5"/>
        <v>5.1852587872344626E-4</v>
      </c>
      <c r="L124" s="8" t="str" cm="1">
        <f t="array" ref="L124">_xlfn.IFS(I124&gt;5%,"High Risk",AND(I124&gt;2%,I124&lt;5%),"Modrate Risk",I124&lt;2%, "Low Risk")</f>
        <v>Modrate Risk</v>
      </c>
    </row>
    <row r="125" spans="1:12" x14ac:dyDescent="0.25">
      <c r="A125" s="9" t="s">
        <v>127</v>
      </c>
      <c r="B125" s="9">
        <v>1132</v>
      </c>
      <c r="C125" s="9">
        <v>69</v>
      </c>
      <c r="D125" s="9">
        <v>1027</v>
      </c>
      <c r="E125" s="9">
        <v>36</v>
      </c>
      <c r="F125" s="9">
        <v>24281433</v>
      </c>
      <c r="G125" s="9" t="s">
        <v>197</v>
      </c>
      <c r="H125" s="10">
        <v>43909</v>
      </c>
      <c r="I125" s="15">
        <f t="shared" si="3"/>
        <v>6.0954063604240286E-2</v>
      </c>
      <c r="J125" s="15">
        <f t="shared" si="4"/>
        <v>0.90724381625441697</v>
      </c>
      <c r="K125" s="18">
        <f t="shared" si="5"/>
        <v>4.6619983260460779E-5</v>
      </c>
      <c r="L125" s="9" t="str" cm="1">
        <f t="array" ref="L125">_xlfn.IFS(I125&gt;5%,"High Risk",AND(I125&gt;2%,I125&lt;5%),"Modrate Risk",I125&lt;2%, "Low Risk")</f>
        <v>High Risk</v>
      </c>
    </row>
    <row r="126" spans="1:12" x14ac:dyDescent="0.25">
      <c r="A126" s="8" t="s">
        <v>128</v>
      </c>
      <c r="B126" s="8">
        <v>41180</v>
      </c>
      <c r="C126" s="8">
        <v>860</v>
      </c>
      <c r="D126" s="8">
        <v>18203</v>
      </c>
      <c r="E126" s="8">
        <v>22117</v>
      </c>
      <c r="F126" s="8">
        <v>206606300</v>
      </c>
      <c r="G126" s="8" t="s">
        <v>197</v>
      </c>
      <c r="H126" s="1">
        <v>43888</v>
      </c>
      <c r="I126" s="14">
        <f t="shared" si="3"/>
        <v>2.0883924235065566E-2</v>
      </c>
      <c r="J126" s="14">
        <f t="shared" si="4"/>
        <v>0.44203496843127732</v>
      </c>
      <c r="K126" s="17">
        <f t="shared" si="5"/>
        <v>1.9931628415977636E-4</v>
      </c>
      <c r="L126" s="8" t="str" cm="1">
        <f t="array" ref="L126">_xlfn.IFS(I126&gt;5%,"High Risk",AND(I126&gt;2%,I126&lt;5%),"Modrate Risk",I126&lt;2%, "Low Risk")</f>
        <v>Modrate Risk</v>
      </c>
    </row>
    <row r="127" spans="1:12" x14ac:dyDescent="0.25">
      <c r="A127" s="9" t="s">
        <v>129</v>
      </c>
      <c r="B127" s="9">
        <v>10213</v>
      </c>
      <c r="C127" s="9">
        <v>466</v>
      </c>
      <c r="D127" s="9">
        <v>5564</v>
      </c>
      <c r="E127" s="9">
        <v>4183</v>
      </c>
      <c r="F127" s="9">
        <v>2083365</v>
      </c>
      <c r="G127" s="9" t="s">
        <v>196</v>
      </c>
      <c r="H127" s="10">
        <v>43887</v>
      </c>
      <c r="I127" s="15">
        <f t="shared" si="3"/>
        <v>4.5628121022226575E-2</v>
      </c>
      <c r="J127" s="15">
        <f t="shared" si="4"/>
        <v>0.54479584842847351</v>
      </c>
      <c r="K127" s="18">
        <f t="shared" si="5"/>
        <v>4.9021654870845966E-3</v>
      </c>
      <c r="L127" s="9" t="str" cm="1">
        <f t="array" ref="L127">_xlfn.IFS(I127&gt;5%,"High Risk",AND(I127&gt;2%,I127&lt;5%),"Modrate Risk",I127&lt;2%, "Low Risk")</f>
        <v>Modrate Risk</v>
      </c>
    </row>
    <row r="128" spans="1:12" x14ac:dyDescent="0.25">
      <c r="A128" s="8" t="s">
        <v>130</v>
      </c>
      <c r="B128" s="8">
        <v>9132</v>
      </c>
      <c r="C128" s="8">
        <v>255</v>
      </c>
      <c r="D128" s="8">
        <v>8752</v>
      </c>
      <c r="E128" s="8">
        <v>125</v>
      </c>
      <c r="F128" s="8">
        <v>5425471</v>
      </c>
      <c r="G128" s="8" t="s">
        <v>196</v>
      </c>
      <c r="H128" s="1">
        <v>43887</v>
      </c>
      <c r="I128" s="14">
        <f t="shared" si="3"/>
        <v>2.7923784494086726E-2</v>
      </c>
      <c r="J128" s="14">
        <f t="shared" si="4"/>
        <v>0.95838808585194923</v>
      </c>
      <c r="K128" s="17">
        <f t="shared" si="5"/>
        <v>1.6831718389057834E-3</v>
      </c>
      <c r="L128" s="8" t="str" cm="1">
        <f t="array" ref="L128">_xlfn.IFS(I128&gt;5%,"High Risk",AND(I128&gt;2%,I128&lt;5%),"Modrate Risk",I128&lt;2%, "Low Risk")</f>
        <v>Modrate Risk</v>
      </c>
    </row>
    <row r="129" spans="1:12" x14ac:dyDescent="0.25">
      <c r="A129" s="9" t="s">
        <v>131</v>
      </c>
      <c r="B129" s="9">
        <v>77058</v>
      </c>
      <c r="C129" s="9">
        <v>393</v>
      </c>
      <c r="D129" s="9">
        <v>57028</v>
      </c>
      <c r="E129" s="9">
        <v>19637</v>
      </c>
      <c r="F129" s="9">
        <v>5118446</v>
      </c>
      <c r="G129" s="9" t="s">
        <v>195</v>
      </c>
      <c r="H129" s="10">
        <v>43885</v>
      </c>
      <c r="I129" s="15">
        <f t="shared" si="3"/>
        <v>5.1000545043992833E-3</v>
      </c>
      <c r="J129" s="15">
        <f t="shared" si="4"/>
        <v>0.74006592436865737</v>
      </c>
      <c r="K129" s="18">
        <f t="shared" si="5"/>
        <v>1.5054960040606075E-2</v>
      </c>
      <c r="L129" s="9" t="str" cm="1">
        <f t="array" ref="L129">_xlfn.IFS(I129&gt;5%,"High Risk",AND(I129&gt;2%,I129&lt;5%),"Modrate Risk",I129&lt;2%, "Low Risk")</f>
        <v>Low Risk</v>
      </c>
    </row>
    <row r="130" spans="1:12" x14ac:dyDescent="0.25">
      <c r="A130" s="8" t="s">
        <v>132</v>
      </c>
      <c r="B130" s="8">
        <v>274289</v>
      </c>
      <c r="C130" s="8">
        <v>5842</v>
      </c>
      <c r="D130" s="8">
        <v>241026</v>
      </c>
      <c r="E130" s="8">
        <v>27421</v>
      </c>
      <c r="F130" s="8">
        <v>221295851</v>
      </c>
      <c r="G130" s="8" t="s">
        <v>195</v>
      </c>
      <c r="H130" s="1">
        <v>43887</v>
      </c>
      <c r="I130" s="14">
        <f t="shared" ref="I130:I188" si="6">C130/B130</f>
        <v>2.1298703192618004E-2</v>
      </c>
      <c r="J130" s="14">
        <f t="shared" ref="J130:J188" si="7">D130/B130</f>
        <v>0.8787300985456945</v>
      </c>
      <c r="K130" s="17">
        <f t="shared" ref="K130:K188" si="8">B130/F130</f>
        <v>1.2394674313166406E-3</v>
      </c>
      <c r="L130" s="8" t="str" cm="1">
        <f t="array" ref="L130">_xlfn.IFS(I130&gt;5%,"High Risk",AND(I130&gt;2%,I130&lt;5%),"Modrate Risk",I130&lt;2%, "Low Risk")</f>
        <v>Modrate Risk</v>
      </c>
    </row>
    <row r="131" spans="1:12" x14ac:dyDescent="0.25">
      <c r="A131" s="9" t="s">
        <v>133</v>
      </c>
      <c r="B131" s="9">
        <v>61442</v>
      </c>
      <c r="C131" s="9">
        <v>1322</v>
      </c>
      <c r="D131" s="9">
        <v>35086</v>
      </c>
      <c r="E131" s="9">
        <v>25034</v>
      </c>
      <c r="F131" s="9">
        <v>5112340</v>
      </c>
      <c r="G131" s="9" t="s">
        <v>195</v>
      </c>
      <c r="H131" s="10">
        <v>43899</v>
      </c>
      <c r="I131" s="15">
        <f t="shared" si="6"/>
        <v>2.1516226685329255E-2</v>
      </c>
      <c r="J131" s="15">
        <f t="shared" si="7"/>
        <v>0.57104260929006212</v>
      </c>
      <c r="K131" s="18">
        <f t="shared" si="8"/>
        <v>1.2018371235089998E-2</v>
      </c>
      <c r="L131" s="9" t="str" cm="1">
        <f t="array" ref="L131">_xlfn.IFS(I131&gt;5%,"High Risk",AND(I131&gt;2%,I131&lt;5%),"Modrate Risk",I131&lt;2%, "Low Risk")</f>
        <v>Modrate Risk</v>
      </c>
    </row>
    <row r="132" spans="1:12" x14ac:dyDescent="0.25">
      <c r="A132" s="8" t="s">
        <v>134</v>
      </c>
      <c r="B132" s="8">
        <v>62</v>
      </c>
      <c r="C132" s="8">
        <v>0</v>
      </c>
      <c r="D132" s="8">
        <v>11</v>
      </c>
      <c r="E132" s="8">
        <v>51</v>
      </c>
      <c r="F132" s="8">
        <v>8963009</v>
      </c>
      <c r="G132" s="8" t="s">
        <v>200</v>
      </c>
      <c r="H132" s="1">
        <v>43910</v>
      </c>
      <c r="I132" s="14">
        <f t="shared" si="6"/>
        <v>0</v>
      </c>
      <c r="J132" s="14">
        <f t="shared" si="7"/>
        <v>0.17741935483870969</v>
      </c>
      <c r="K132" s="17">
        <f t="shared" si="8"/>
        <v>6.9173198420307291E-6</v>
      </c>
      <c r="L132" s="8" t="str" cm="1">
        <f t="array" ref="L132">_xlfn.IFS(I132&gt;5%,"High Risk",AND(I132&gt;2%,I132&lt;5%),"Modrate Risk",I132&lt;2%, "Low Risk")</f>
        <v>Low Risk</v>
      </c>
    </row>
    <row r="133" spans="1:12" x14ac:dyDescent="0.25">
      <c r="A133" s="9" t="s">
        <v>135</v>
      </c>
      <c r="B133" s="9">
        <v>4548</v>
      </c>
      <c r="C133" s="9">
        <v>43</v>
      </c>
      <c r="D133" s="9">
        <v>2905</v>
      </c>
      <c r="E133" s="9">
        <v>1600</v>
      </c>
      <c r="F133" s="9">
        <v>7141091</v>
      </c>
      <c r="G133" s="9" t="s">
        <v>199</v>
      </c>
      <c r="H133" s="10">
        <v>43897</v>
      </c>
      <c r="I133" s="15">
        <f t="shared" si="6"/>
        <v>9.4547053649956022E-3</v>
      </c>
      <c r="J133" s="15">
        <f t="shared" si="7"/>
        <v>0.63874230430958667</v>
      </c>
      <c r="K133" s="18">
        <f t="shared" si="8"/>
        <v>6.368774743243014E-4</v>
      </c>
      <c r="L133" s="9" t="str" cm="1">
        <f t="array" ref="L133">_xlfn.IFS(I133&gt;5%,"High Risk",AND(I133&gt;2%,I133&lt;5%),"Modrate Risk",I133&lt;2%, "Low Risk")</f>
        <v>Low Risk</v>
      </c>
    </row>
    <row r="134" spans="1:12" x14ac:dyDescent="0.25">
      <c r="A134" s="8" t="s">
        <v>136</v>
      </c>
      <c r="B134" s="8">
        <v>389717</v>
      </c>
      <c r="C134" s="8">
        <v>18418</v>
      </c>
      <c r="D134" s="8">
        <v>272547</v>
      </c>
      <c r="E134" s="8">
        <v>98752</v>
      </c>
      <c r="F134" s="8">
        <v>33016319</v>
      </c>
      <c r="G134" s="8" t="s">
        <v>199</v>
      </c>
      <c r="H134" s="1">
        <v>43896</v>
      </c>
      <c r="I134" s="14">
        <f t="shared" si="6"/>
        <v>4.7259934773181564E-2</v>
      </c>
      <c r="J134" s="14">
        <f t="shared" si="7"/>
        <v>0.69934593564047753</v>
      </c>
      <c r="K134" s="17">
        <f t="shared" si="8"/>
        <v>1.180376891803111E-2</v>
      </c>
      <c r="L134" s="8" t="str" cm="1">
        <f t="array" ref="L134">_xlfn.IFS(I134&gt;5%,"High Risk",AND(I134&gt;2%,I134&lt;5%),"Modrate Risk",I134&lt;2%, "Low Risk")</f>
        <v>Modrate Risk</v>
      </c>
    </row>
    <row r="135" spans="1:12" x14ac:dyDescent="0.25">
      <c r="A135" s="9" t="s">
        <v>137</v>
      </c>
      <c r="B135" s="9">
        <v>82040</v>
      </c>
      <c r="C135" s="9">
        <v>1945</v>
      </c>
      <c r="D135" s="9">
        <v>26446</v>
      </c>
      <c r="E135" s="9">
        <v>53649</v>
      </c>
      <c r="F135" s="9">
        <v>109722719</v>
      </c>
      <c r="G135" s="9" t="s">
        <v>195</v>
      </c>
      <c r="H135" s="10">
        <v>43860</v>
      </c>
      <c r="I135" s="15">
        <f t="shared" si="6"/>
        <v>2.370794734275963E-2</v>
      </c>
      <c r="J135" s="15">
        <f t="shared" si="7"/>
        <v>0.32235494880546073</v>
      </c>
      <c r="K135" s="18">
        <f t="shared" si="8"/>
        <v>7.4770294381786148E-4</v>
      </c>
      <c r="L135" s="9" t="str" cm="1">
        <f t="array" ref="L135">_xlfn.IFS(I135&gt;5%,"High Risk",AND(I135&gt;2%,I135&lt;5%),"Modrate Risk",I135&lt;2%, "Low Risk")</f>
        <v>Modrate Risk</v>
      </c>
    </row>
    <row r="136" spans="1:12" x14ac:dyDescent="0.25">
      <c r="A136" s="8" t="s">
        <v>138</v>
      </c>
      <c r="B136" s="8">
        <v>43402</v>
      </c>
      <c r="C136" s="8">
        <v>1676</v>
      </c>
      <c r="D136" s="8">
        <v>32856</v>
      </c>
      <c r="E136" s="8">
        <v>8870</v>
      </c>
      <c r="F136" s="8">
        <v>37842302</v>
      </c>
      <c r="G136" s="8" t="s">
        <v>196</v>
      </c>
      <c r="H136" s="1">
        <v>43894</v>
      </c>
      <c r="I136" s="14">
        <f t="shared" si="6"/>
        <v>3.8615731993917331E-2</v>
      </c>
      <c r="J136" s="14">
        <f t="shared" si="7"/>
        <v>0.75701580572323857</v>
      </c>
      <c r="K136" s="17">
        <f t="shared" si="8"/>
        <v>1.1469175421727779E-3</v>
      </c>
      <c r="L136" s="8" t="str" cm="1">
        <f t="array" ref="L136">_xlfn.IFS(I136&gt;5%,"High Risk",AND(I136&gt;2%,I136&lt;5%),"Modrate Risk",I136&lt;2%, "Low Risk")</f>
        <v>Modrate Risk</v>
      </c>
    </row>
    <row r="137" spans="1:12" x14ac:dyDescent="0.25">
      <c r="A137" s="9" t="s">
        <v>139</v>
      </c>
      <c r="B137" s="9">
        <v>50299</v>
      </c>
      <c r="C137" s="9">
        <v>1719</v>
      </c>
      <c r="D137" s="9">
        <v>35375</v>
      </c>
      <c r="E137" s="9">
        <v>13205</v>
      </c>
      <c r="F137" s="9">
        <v>10193593</v>
      </c>
      <c r="G137" s="9" t="s">
        <v>196</v>
      </c>
      <c r="H137" s="10">
        <v>43892</v>
      </c>
      <c r="I137" s="15">
        <f t="shared" si="6"/>
        <v>3.4175629734189548E-2</v>
      </c>
      <c r="J137" s="15">
        <f t="shared" si="7"/>
        <v>0.70329430008548877</v>
      </c>
      <c r="K137" s="18">
        <f t="shared" si="8"/>
        <v>4.9343739739265632E-3</v>
      </c>
      <c r="L137" s="9" t="str" cm="1">
        <f t="array" ref="L137">_xlfn.IFS(I137&gt;5%,"High Risk",AND(I137&gt;2%,I137&lt;5%),"Modrate Risk",I137&lt;2%, "Low Risk")</f>
        <v>Modrate Risk</v>
      </c>
    </row>
    <row r="138" spans="1:12" x14ac:dyDescent="0.25">
      <c r="A138" s="8" t="s">
        <v>140</v>
      </c>
      <c r="B138" s="8">
        <v>109597</v>
      </c>
      <c r="C138" s="8">
        <v>165</v>
      </c>
      <c r="D138" s="8">
        <v>106328</v>
      </c>
      <c r="E138" s="8">
        <v>3104</v>
      </c>
      <c r="F138" s="8">
        <v>2807805</v>
      </c>
      <c r="G138" s="8" t="s">
        <v>195</v>
      </c>
      <c r="H138" s="1">
        <v>43888</v>
      </c>
      <c r="I138" s="14">
        <f t="shared" si="6"/>
        <v>1.5055156619250528E-3</v>
      </c>
      <c r="J138" s="14">
        <f t="shared" si="7"/>
        <v>0.97017254121919394</v>
      </c>
      <c r="K138" s="17">
        <f t="shared" si="8"/>
        <v>3.9032981278970584E-2</v>
      </c>
      <c r="L138" s="8" t="str" cm="1">
        <f t="array" ref="L138">_xlfn.IFS(I138&gt;5%,"High Risk",AND(I138&gt;2%,I138&lt;5%),"Modrate Risk",I138&lt;2%, "Low Risk")</f>
        <v>Low Risk</v>
      </c>
    </row>
    <row r="139" spans="1:12" x14ac:dyDescent="0.25">
      <c r="A139" s="9" t="s">
        <v>141</v>
      </c>
      <c r="B139" s="9">
        <v>45902</v>
      </c>
      <c r="C139" s="9">
        <v>2206</v>
      </c>
      <c r="D139" s="9">
        <v>25794</v>
      </c>
      <c r="E139" s="9">
        <v>17902</v>
      </c>
      <c r="F139" s="9">
        <v>19224023</v>
      </c>
      <c r="G139" s="9" t="s">
        <v>196</v>
      </c>
      <c r="H139" s="10">
        <v>43887</v>
      </c>
      <c r="I139" s="15">
        <f t="shared" si="6"/>
        <v>4.805890810857915E-2</v>
      </c>
      <c r="J139" s="15">
        <f t="shared" si="7"/>
        <v>0.56193629907193587</v>
      </c>
      <c r="K139" s="18">
        <f t="shared" si="8"/>
        <v>2.3877416293145303E-3</v>
      </c>
      <c r="L139" s="9" t="str" cm="1">
        <f t="array" ref="L139">_xlfn.IFS(I139&gt;5%,"High Risk",AND(I139&gt;2%,I139&lt;5%),"Modrate Risk",I139&lt;2%, "Low Risk")</f>
        <v>Modrate Risk</v>
      </c>
    </row>
    <row r="140" spans="1:12" x14ac:dyDescent="0.25">
      <c r="A140" s="8" t="s">
        <v>142</v>
      </c>
      <c r="B140" s="8">
        <v>816680</v>
      </c>
      <c r="C140" s="8">
        <v>13334</v>
      </c>
      <c r="D140" s="8">
        <v>602249</v>
      </c>
      <c r="E140" s="8">
        <v>201097</v>
      </c>
      <c r="F140" s="8">
        <v>145940924</v>
      </c>
      <c r="G140" s="8" t="s">
        <v>196</v>
      </c>
      <c r="H140" s="1">
        <v>43861</v>
      </c>
      <c r="I140" s="14">
        <f t="shared" si="6"/>
        <v>1.6327080374197972E-2</v>
      </c>
      <c r="J140" s="14">
        <f t="shared" si="7"/>
        <v>0.73743571533525987</v>
      </c>
      <c r="K140" s="17">
        <f t="shared" si="8"/>
        <v>5.5959629253820543E-3</v>
      </c>
      <c r="L140" s="8" t="str" cm="1">
        <f t="array" ref="L140">_xlfn.IFS(I140&gt;5%,"High Risk",AND(I140&gt;2%,I140&lt;5%),"Modrate Risk",I140&lt;2%, "Low Risk")</f>
        <v>Low Risk</v>
      </c>
    </row>
    <row r="141" spans="1:12" x14ac:dyDescent="0.25">
      <c r="A141" s="9" t="s">
        <v>143</v>
      </c>
      <c r="B141" s="9">
        <v>1879</v>
      </c>
      <c r="C141" s="9">
        <v>5</v>
      </c>
      <c r="D141" s="9">
        <v>975</v>
      </c>
      <c r="E141" s="9">
        <v>899</v>
      </c>
      <c r="F141" s="9">
        <v>12981546</v>
      </c>
      <c r="G141" s="9" t="s">
        <v>197</v>
      </c>
      <c r="H141" s="10">
        <v>43904</v>
      </c>
      <c r="I141" s="15">
        <f t="shared" si="6"/>
        <v>2.6609898882384245E-3</v>
      </c>
      <c r="J141" s="15">
        <f t="shared" si="7"/>
        <v>0.51889302820649286</v>
      </c>
      <c r="K141" s="18">
        <f t="shared" si="8"/>
        <v>1.4474393111575461E-4</v>
      </c>
      <c r="L141" s="9" t="str" cm="1">
        <f t="array" ref="L141">_xlfn.IFS(I141&gt;5%,"High Risk",AND(I141&gt;2%,I141&lt;5%),"Modrate Risk",I141&lt;2%, "Low Risk")</f>
        <v>Low Risk</v>
      </c>
    </row>
    <row r="142" spans="1:12" x14ac:dyDescent="0.25">
      <c r="A142" s="8" t="s">
        <v>144</v>
      </c>
      <c r="B142" s="8">
        <v>17</v>
      </c>
      <c r="C142" s="8">
        <v>0</v>
      </c>
      <c r="D142" s="8">
        <v>15</v>
      </c>
      <c r="E142" s="8">
        <v>2</v>
      </c>
      <c r="F142" s="8">
        <v>53237</v>
      </c>
      <c r="G142" s="8" t="s">
        <v>198</v>
      </c>
      <c r="H142" s="1">
        <v>43914</v>
      </c>
      <c r="I142" s="14">
        <f t="shared" si="6"/>
        <v>0</v>
      </c>
      <c r="J142" s="14">
        <f t="shared" si="7"/>
        <v>0.88235294117647056</v>
      </c>
      <c r="K142" s="17">
        <f t="shared" si="8"/>
        <v>3.1932678400360654E-4</v>
      </c>
      <c r="L142" s="8" t="str" cm="1">
        <f t="array" ref="L142">_xlfn.IFS(I142&gt;5%,"High Risk",AND(I142&gt;2%,I142&lt;5%),"Modrate Risk",I142&lt;2%, "Low Risk")</f>
        <v>Low Risk</v>
      </c>
    </row>
    <row r="143" spans="1:12" x14ac:dyDescent="0.25">
      <c r="A143" s="9" t="s">
        <v>145</v>
      </c>
      <c r="B143" s="9">
        <v>24</v>
      </c>
      <c r="C143" s="9">
        <v>0</v>
      </c>
      <c r="D143" s="9">
        <v>22</v>
      </c>
      <c r="E143" s="9">
        <v>2</v>
      </c>
      <c r="F143" s="9">
        <v>183712</v>
      </c>
      <c r="G143" s="9" t="s">
        <v>198</v>
      </c>
      <c r="H143" s="10">
        <v>43903</v>
      </c>
      <c r="I143" s="15">
        <f t="shared" si="6"/>
        <v>0</v>
      </c>
      <c r="J143" s="15">
        <f t="shared" si="7"/>
        <v>0.91666666666666663</v>
      </c>
      <c r="K143" s="18">
        <f t="shared" si="8"/>
        <v>1.306392614527086E-4</v>
      </c>
      <c r="L143" s="9" t="str" cm="1">
        <f t="array" ref="L143">_xlfn.IFS(I143&gt;5%,"High Risk",AND(I143&gt;2%,I143&lt;5%),"Modrate Risk",I143&lt;2%, "Low Risk")</f>
        <v>Low Risk</v>
      </c>
    </row>
    <row r="144" spans="1:12" x14ac:dyDescent="0.25">
      <c r="A144" s="8" t="s">
        <v>146</v>
      </c>
      <c r="B144" s="8">
        <v>52</v>
      </c>
      <c r="C144" s="8">
        <v>0</v>
      </c>
      <c r="D144" s="8">
        <v>39</v>
      </c>
      <c r="E144" s="8">
        <v>13</v>
      </c>
      <c r="F144" s="11">
        <v>104000</v>
      </c>
      <c r="G144" s="8" t="s">
        <v>198</v>
      </c>
      <c r="H144" s="1">
        <v>43901</v>
      </c>
      <c r="I144" s="14">
        <f t="shared" si="6"/>
        <v>0</v>
      </c>
      <c r="J144" s="14">
        <f t="shared" si="7"/>
        <v>0.75</v>
      </c>
      <c r="K144" s="17">
        <f t="shared" si="8"/>
        <v>5.0000000000000001E-4</v>
      </c>
      <c r="L144" s="8" t="str" cm="1">
        <f t="array" ref="L144">_xlfn.IFS(I144&gt;5%,"High Risk",AND(I144&gt;2%,I144&lt;5%),"Modrate Risk",I144&lt;2%, "Low Risk")</f>
        <v>Low Risk</v>
      </c>
    </row>
    <row r="145" spans="1:12" x14ac:dyDescent="0.25">
      <c r="A145" s="9" t="s">
        <v>147</v>
      </c>
      <c r="B145" s="9">
        <v>699</v>
      </c>
      <c r="C145" s="9">
        <v>42</v>
      </c>
      <c r="D145" s="9">
        <v>657</v>
      </c>
      <c r="E145" s="9">
        <v>0</v>
      </c>
      <c r="F145" s="9">
        <v>33938</v>
      </c>
      <c r="G145" s="9" t="s">
        <v>196</v>
      </c>
      <c r="H145" s="10">
        <v>43888</v>
      </c>
      <c r="I145" s="15">
        <f t="shared" si="6"/>
        <v>6.0085836909871244E-2</v>
      </c>
      <c r="J145" s="15">
        <f t="shared" si="7"/>
        <v>0.93991416309012876</v>
      </c>
      <c r="K145" s="18">
        <f t="shared" si="8"/>
        <v>2.0596381637102954E-2</v>
      </c>
      <c r="L145" s="9" t="str" cm="1">
        <f t="array" ref="L145">_xlfn.IFS(I145&gt;5%,"High Risk",AND(I145&gt;2%,I145&lt;5%),"Modrate Risk",I145&lt;2%, "Low Risk")</f>
        <v>High Risk</v>
      </c>
    </row>
    <row r="146" spans="1:12" x14ac:dyDescent="0.25">
      <c r="A146" s="8" t="s">
        <v>148</v>
      </c>
      <c r="B146" s="8">
        <v>865</v>
      </c>
      <c r="C146" s="8">
        <v>14</v>
      </c>
      <c r="D146" s="8">
        <v>734</v>
      </c>
      <c r="E146" s="8">
        <v>117</v>
      </c>
      <c r="F146" s="8">
        <v>219544</v>
      </c>
      <c r="G146" s="8" t="s">
        <v>197</v>
      </c>
      <c r="H146" s="1">
        <v>43927</v>
      </c>
      <c r="I146" s="14">
        <f t="shared" si="6"/>
        <v>1.6184971098265895E-2</v>
      </c>
      <c r="J146" s="14">
        <f t="shared" si="7"/>
        <v>0.84855491329479771</v>
      </c>
      <c r="K146" s="17">
        <f t="shared" si="8"/>
        <v>3.9399846955507781E-3</v>
      </c>
      <c r="L146" s="8" t="str" cm="1">
        <f t="array" ref="L146">_xlfn.IFS(I146&gt;5%,"High Risk",AND(I146&gt;2%,I146&lt;5%),"Modrate Risk",I146&lt;2%, "Low Risk")</f>
        <v>Low Risk</v>
      </c>
    </row>
    <row r="147" spans="1:12" x14ac:dyDescent="0.25">
      <c r="A147" s="9" t="s">
        <v>149</v>
      </c>
      <c r="B147" s="9">
        <v>268934</v>
      </c>
      <c r="C147" s="9">
        <v>2760</v>
      </c>
      <c r="D147" s="9">
        <v>222936</v>
      </c>
      <c r="E147" s="9">
        <v>43238</v>
      </c>
      <c r="F147" s="9">
        <v>34865919</v>
      </c>
      <c r="G147" s="9" t="s">
        <v>195</v>
      </c>
      <c r="H147" s="10">
        <v>43892</v>
      </c>
      <c r="I147" s="15">
        <f t="shared" si="6"/>
        <v>1.0262741044271086E-2</v>
      </c>
      <c r="J147" s="15">
        <f t="shared" si="7"/>
        <v>0.8289617526976879</v>
      </c>
      <c r="K147" s="18">
        <f t="shared" si="8"/>
        <v>7.7133776396371484E-3</v>
      </c>
      <c r="L147" s="9" t="str" cm="1">
        <f t="array" ref="L147">_xlfn.IFS(I147&gt;5%,"High Risk",AND(I147&gt;2%,I147&lt;5%),"Modrate Risk",I147&lt;2%, "Low Risk")</f>
        <v>Low Risk</v>
      </c>
    </row>
    <row r="148" spans="1:12" x14ac:dyDescent="0.25">
      <c r="A148" s="8" t="s">
        <v>150</v>
      </c>
      <c r="B148" s="8">
        <v>9764</v>
      </c>
      <c r="C148" s="8">
        <v>194</v>
      </c>
      <c r="D148" s="8">
        <v>6477</v>
      </c>
      <c r="E148" s="8">
        <v>3093</v>
      </c>
      <c r="F148" s="8">
        <v>16783877</v>
      </c>
      <c r="G148" s="8" t="s">
        <v>197</v>
      </c>
      <c r="H148" s="1">
        <v>43892</v>
      </c>
      <c r="I148" s="14">
        <f t="shared" si="6"/>
        <v>1.9868906185989348E-2</v>
      </c>
      <c r="J148" s="14">
        <f t="shared" si="7"/>
        <v>0.66335518230233514</v>
      </c>
      <c r="K148" s="17">
        <f t="shared" si="8"/>
        <v>5.8174878188156404E-4</v>
      </c>
      <c r="L148" s="8" t="str" cm="1">
        <f t="array" ref="L148">_xlfn.IFS(I148&gt;5%,"High Risk",AND(I148&gt;2%,I148&lt;5%),"Modrate Risk",I148&lt;2%, "Low Risk")</f>
        <v>Low Risk</v>
      </c>
    </row>
    <row r="149" spans="1:12" x14ac:dyDescent="0.25">
      <c r="A149" s="9" t="s">
        <v>151</v>
      </c>
      <c r="B149" s="9">
        <v>24141</v>
      </c>
      <c r="C149" s="9">
        <v>543</v>
      </c>
      <c r="D149" s="9">
        <v>0</v>
      </c>
      <c r="E149" s="9">
        <v>23598</v>
      </c>
      <c r="F149" s="9">
        <v>8733665</v>
      </c>
      <c r="G149" s="9" t="s">
        <v>196</v>
      </c>
      <c r="H149" s="10">
        <v>43896</v>
      </c>
      <c r="I149" s="15">
        <f t="shared" si="6"/>
        <v>2.2492854479930408E-2</v>
      </c>
      <c r="J149" s="15">
        <f t="shared" si="7"/>
        <v>0</v>
      </c>
      <c r="K149" s="18">
        <f t="shared" si="8"/>
        <v>2.7641316675187334E-3</v>
      </c>
      <c r="L149" s="9" t="str" cm="1">
        <f t="array" ref="L149">_xlfn.IFS(I149&gt;5%,"High Risk",AND(I149&gt;2%,I149&lt;5%),"Modrate Risk",I149&lt;2%, "Low Risk")</f>
        <v>Modrate Risk</v>
      </c>
    </row>
    <row r="150" spans="1:12" x14ac:dyDescent="0.25">
      <c r="A150" s="8" t="s">
        <v>152</v>
      </c>
      <c r="B150" s="8">
        <v>114</v>
      </c>
      <c r="C150" s="8">
        <v>0</v>
      </c>
      <c r="D150" s="8">
        <v>39</v>
      </c>
      <c r="E150" s="8">
        <v>75</v>
      </c>
      <c r="F150" s="8">
        <v>98408</v>
      </c>
      <c r="G150" s="8" t="s">
        <v>197</v>
      </c>
      <c r="H150" s="1">
        <v>43904</v>
      </c>
      <c r="I150" s="14">
        <f t="shared" si="6"/>
        <v>0</v>
      </c>
      <c r="J150" s="14">
        <f t="shared" si="7"/>
        <v>0.34210526315789475</v>
      </c>
      <c r="K150" s="17">
        <f t="shared" si="8"/>
        <v>1.158442403056662E-3</v>
      </c>
      <c r="L150" s="8" t="str" cm="1">
        <f t="array" ref="L150">_xlfn.IFS(I150&gt;5%,"High Risk",AND(I150&gt;2%,I150&lt;5%),"Modrate Risk",I150&lt;2%, "Low Risk")</f>
        <v>Low Risk</v>
      </c>
    </row>
    <row r="151" spans="1:12" x14ac:dyDescent="0.25">
      <c r="A151" s="9" t="s">
        <v>153</v>
      </c>
      <c r="B151" s="9">
        <v>1783</v>
      </c>
      <c r="C151" s="9">
        <v>66</v>
      </c>
      <c r="D151" s="9">
        <v>1317</v>
      </c>
      <c r="E151" s="9">
        <v>400</v>
      </c>
      <c r="F151" s="9">
        <v>7992169</v>
      </c>
      <c r="G151" s="9" t="s">
        <v>197</v>
      </c>
      <c r="H151" s="10">
        <v>43921</v>
      </c>
      <c r="I151" s="15">
        <f t="shared" si="6"/>
        <v>3.7016264722378012E-2</v>
      </c>
      <c r="J151" s="15">
        <f t="shared" si="7"/>
        <v>0.73864273696017946</v>
      </c>
      <c r="K151" s="18">
        <f t="shared" si="8"/>
        <v>2.230933805328691E-4</v>
      </c>
      <c r="L151" s="9" t="str" cm="1">
        <f t="array" ref="L151">_xlfn.IFS(I151&gt;5%,"High Risk",AND(I151&gt;2%,I151&lt;5%),"Modrate Risk",I151&lt;2%, "Low Risk")</f>
        <v>Modrate Risk</v>
      </c>
    </row>
    <row r="152" spans="1:12" x14ac:dyDescent="0.25">
      <c r="A152" s="8" t="s">
        <v>154</v>
      </c>
      <c r="B152" s="8">
        <v>50838</v>
      </c>
      <c r="C152" s="8">
        <v>27</v>
      </c>
      <c r="D152" s="8">
        <v>45692</v>
      </c>
      <c r="E152" s="8">
        <v>5119</v>
      </c>
      <c r="F152" s="8">
        <v>5854932</v>
      </c>
      <c r="G152" s="8" t="s">
        <v>195</v>
      </c>
      <c r="H152" s="1">
        <v>43853</v>
      </c>
      <c r="I152" s="14">
        <f t="shared" si="6"/>
        <v>5.3109878437389356E-4</v>
      </c>
      <c r="J152" s="14">
        <f t="shared" si="7"/>
        <v>0.89877650576340529</v>
      </c>
      <c r="K152" s="17">
        <f t="shared" si="8"/>
        <v>8.6829360272672688E-3</v>
      </c>
      <c r="L152" s="8" t="str" cm="1">
        <f t="array" ref="L152">_xlfn.IFS(I152&gt;5%,"High Risk",AND(I152&gt;2%,I152&lt;5%),"Modrate Risk",I152&lt;2%, "Low Risk")</f>
        <v>Low Risk</v>
      </c>
    </row>
    <row r="153" spans="1:12" x14ac:dyDescent="0.25">
      <c r="A153" s="9" t="s">
        <v>155</v>
      </c>
      <c r="B153" s="9">
        <v>2181</v>
      </c>
      <c r="C153" s="9">
        <v>28</v>
      </c>
      <c r="D153" s="9">
        <v>1616</v>
      </c>
      <c r="E153" s="9">
        <v>537</v>
      </c>
      <c r="F153" s="9">
        <v>5459915</v>
      </c>
      <c r="G153" s="9" t="s">
        <v>196</v>
      </c>
      <c r="H153" s="10">
        <v>43896</v>
      </c>
      <c r="I153" s="15">
        <f t="shared" si="6"/>
        <v>1.2838147638697846E-2</v>
      </c>
      <c r="J153" s="15">
        <f t="shared" si="7"/>
        <v>0.74094452086198992</v>
      </c>
      <c r="K153" s="18">
        <f t="shared" si="8"/>
        <v>3.994567680998697E-4</v>
      </c>
      <c r="L153" s="9" t="str" cm="1">
        <f t="array" ref="L153">_xlfn.IFS(I153&gt;5%,"High Risk",AND(I153&gt;2%,I153&lt;5%),"Modrate Risk",I153&lt;2%, "Low Risk")</f>
        <v>Low Risk</v>
      </c>
    </row>
    <row r="154" spans="1:12" x14ac:dyDescent="0.25">
      <c r="A154" s="8" t="s">
        <v>156</v>
      </c>
      <c r="B154" s="8">
        <v>2087</v>
      </c>
      <c r="C154" s="8">
        <v>116</v>
      </c>
      <c r="D154" s="8">
        <v>1733</v>
      </c>
      <c r="E154" s="8">
        <v>238</v>
      </c>
      <c r="F154" s="8">
        <v>2078968</v>
      </c>
      <c r="G154" s="8" t="s">
        <v>196</v>
      </c>
      <c r="H154" s="1">
        <v>43894</v>
      </c>
      <c r="I154" s="14">
        <f t="shared" si="6"/>
        <v>5.558217537134643E-2</v>
      </c>
      <c r="J154" s="14">
        <f t="shared" si="7"/>
        <v>0.83037853378054627</v>
      </c>
      <c r="K154" s="17">
        <f t="shared" si="8"/>
        <v>1.0038634553297598E-3</v>
      </c>
      <c r="L154" s="8" t="str" cm="1">
        <f t="array" ref="L154">_xlfn.IFS(I154&gt;5%,"High Risk",AND(I154&gt;2%,I154&lt;5%),"Modrate Risk",I154&lt;2%, "Low Risk")</f>
        <v>High Risk</v>
      </c>
    </row>
    <row r="155" spans="1:12" x14ac:dyDescent="0.25">
      <c r="A155" s="9" t="s">
        <v>157</v>
      </c>
      <c r="B155" s="9">
        <v>3196</v>
      </c>
      <c r="C155" s="9">
        <v>93</v>
      </c>
      <c r="D155" s="9">
        <v>1543</v>
      </c>
      <c r="E155" s="9">
        <v>1560</v>
      </c>
      <c r="F155" s="9">
        <v>15933012</v>
      </c>
      <c r="G155" s="9" t="s">
        <v>197</v>
      </c>
      <c r="H155" s="10">
        <v>43906</v>
      </c>
      <c r="I155" s="15">
        <f t="shared" si="6"/>
        <v>2.9098873591989989E-2</v>
      </c>
      <c r="J155" s="15">
        <f t="shared" si="7"/>
        <v>0.48279098873591991</v>
      </c>
      <c r="K155" s="18">
        <f t="shared" si="8"/>
        <v>2.0058981942648382E-4</v>
      </c>
      <c r="L155" s="9" t="str" cm="1">
        <f t="array" ref="L155">_xlfn.IFS(I155&gt;5%,"High Risk",AND(I155&gt;2%,I155&lt;5%),"Modrate Risk",I155&lt;2%, "Low Risk")</f>
        <v>Modrate Risk</v>
      </c>
    </row>
    <row r="156" spans="1:12" x14ac:dyDescent="0.25">
      <c r="A156" s="8" t="s">
        <v>158</v>
      </c>
      <c r="B156" s="8">
        <v>452529</v>
      </c>
      <c r="C156" s="8">
        <v>7067</v>
      </c>
      <c r="D156" s="8">
        <v>274925</v>
      </c>
      <c r="E156" s="8">
        <v>170537</v>
      </c>
      <c r="F156" s="8">
        <v>59381566</v>
      </c>
      <c r="G156" s="8" t="s">
        <v>197</v>
      </c>
      <c r="H156" s="1">
        <v>43895</v>
      </c>
      <c r="I156" s="14">
        <f t="shared" si="6"/>
        <v>1.5616678710093718E-2</v>
      </c>
      <c r="J156" s="14">
        <f t="shared" si="7"/>
        <v>0.60753012514115112</v>
      </c>
      <c r="K156" s="17">
        <f t="shared" si="8"/>
        <v>7.6206983157028904E-3</v>
      </c>
      <c r="L156" s="8" t="str" cm="1">
        <f t="array" ref="L156">_xlfn.IFS(I156&gt;5%,"High Risk",AND(I156&gt;2%,I156&lt;5%),"Modrate Risk",I156&lt;2%, "Low Risk")</f>
        <v>Low Risk</v>
      </c>
    </row>
    <row r="157" spans="1:12" x14ac:dyDescent="0.25">
      <c r="A157" s="9" t="s">
        <v>159</v>
      </c>
      <c r="B157" s="9">
        <v>14203</v>
      </c>
      <c r="C157" s="9">
        <v>300</v>
      </c>
      <c r="D157" s="9">
        <v>13007</v>
      </c>
      <c r="E157" s="9">
        <v>896</v>
      </c>
      <c r="F157" s="9">
        <v>51273732</v>
      </c>
      <c r="G157" s="9" t="s">
        <v>195</v>
      </c>
      <c r="H157" s="10">
        <v>43850</v>
      </c>
      <c r="I157" s="15">
        <f t="shared" si="6"/>
        <v>2.1122298106033936E-2</v>
      </c>
      <c r="J157" s="15">
        <f t="shared" si="7"/>
        <v>0.91579243821727807</v>
      </c>
      <c r="K157" s="18">
        <f t="shared" si="8"/>
        <v>2.7700343715959667E-4</v>
      </c>
      <c r="L157" s="9" t="str" cm="1">
        <f t="array" ref="L157">_xlfn.IFS(I157&gt;5%,"High Risk",AND(I157&gt;2%,I157&lt;5%),"Modrate Risk",I157&lt;2%, "Low Risk")</f>
        <v>Modrate Risk</v>
      </c>
    </row>
    <row r="158" spans="1:12" x14ac:dyDescent="0.25">
      <c r="A158" s="8" t="s">
        <v>160</v>
      </c>
      <c r="B158" s="8">
        <v>2305</v>
      </c>
      <c r="C158" s="8">
        <v>46</v>
      </c>
      <c r="D158" s="8">
        <v>1175</v>
      </c>
      <c r="E158" s="8">
        <v>1084</v>
      </c>
      <c r="F158" s="8">
        <v>11206572</v>
      </c>
      <c r="G158" s="8" t="s">
        <v>197</v>
      </c>
      <c r="H158" s="1">
        <v>43926</v>
      </c>
      <c r="I158" s="14">
        <f t="shared" si="6"/>
        <v>1.9956616052060738E-2</v>
      </c>
      <c r="J158" s="14">
        <f t="shared" si="7"/>
        <v>0.50976138828633411</v>
      </c>
      <c r="K158" s="17">
        <f t="shared" si="8"/>
        <v>2.0568287965311784E-4</v>
      </c>
      <c r="L158" s="8" t="str" cm="1">
        <f t="array" ref="L158">_xlfn.IFS(I158&gt;5%,"High Risk",AND(I158&gt;2%,I158&lt;5%),"Modrate Risk",I158&lt;2%, "Low Risk")</f>
        <v>Low Risk</v>
      </c>
    </row>
    <row r="159" spans="1:12" x14ac:dyDescent="0.25">
      <c r="A159" s="9" t="s">
        <v>161</v>
      </c>
      <c r="B159" s="9">
        <v>272421</v>
      </c>
      <c r="C159" s="9">
        <v>28432</v>
      </c>
      <c r="D159" s="9">
        <v>150376</v>
      </c>
      <c r="E159" s="9">
        <v>93613</v>
      </c>
      <c r="F159" s="9">
        <v>46756648</v>
      </c>
      <c r="G159" s="9" t="s">
        <v>196</v>
      </c>
      <c r="H159" s="10">
        <v>43861</v>
      </c>
      <c r="I159" s="15">
        <f t="shared" si="6"/>
        <v>0.10436787178668311</v>
      </c>
      <c r="J159" s="15">
        <f t="shared" si="7"/>
        <v>0.55199856105072664</v>
      </c>
      <c r="K159" s="18">
        <f t="shared" si="8"/>
        <v>5.8263586388827534E-3</v>
      </c>
      <c r="L159" s="9" t="str" cm="1">
        <f t="array" ref="L159">_xlfn.IFS(I159&gt;5%,"High Risk",AND(I159&gt;2%,I159&lt;5%),"Modrate Risk",I159&lt;2%, "Low Risk")</f>
        <v>High Risk</v>
      </c>
    </row>
    <row r="160" spans="1:12" x14ac:dyDescent="0.25">
      <c r="A160" s="8" t="s">
        <v>162</v>
      </c>
      <c r="B160" s="8">
        <v>2805</v>
      </c>
      <c r="C160" s="8">
        <v>11</v>
      </c>
      <c r="D160" s="8">
        <v>2121</v>
      </c>
      <c r="E160" s="8">
        <v>673</v>
      </c>
      <c r="F160" s="8">
        <v>21422362</v>
      </c>
      <c r="G160" s="8" t="s">
        <v>195</v>
      </c>
      <c r="H160" s="1">
        <v>43857</v>
      </c>
      <c r="I160" s="14">
        <f t="shared" si="6"/>
        <v>3.9215686274509803E-3</v>
      </c>
      <c r="J160" s="14">
        <f t="shared" si="7"/>
        <v>0.75614973262032081</v>
      </c>
      <c r="K160" s="17">
        <f t="shared" si="8"/>
        <v>1.3093794232400704E-4</v>
      </c>
      <c r="L160" s="8" t="str" cm="1">
        <f t="array" ref="L160">_xlfn.IFS(I160&gt;5%,"High Risk",AND(I160&gt;2%,I160&lt;5%),"Modrate Risk",I160&lt;2%, "Low Risk")</f>
        <v>Low Risk</v>
      </c>
    </row>
    <row r="161" spans="1:12" x14ac:dyDescent="0.25">
      <c r="A161" s="9" t="s">
        <v>163</v>
      </c>
      <c r="B161" s="9">
        <v>11424</v>
      </c>
      <c r="C161" s="9">
        <v>720</v>
      </c>
      <c r="D161" s="9">
        <v>5939</v>
      </c>
      <c r="E161" s="9">
        <v>4765</v>
      </c>
      <c r="F161" s="9">
        <v>43943536</v>
      </c>
      <c r="G161" s="9" t="s">
        <v>197</v>
      </c>
      <c r="H161" s="10">
        <v>43903</v>
      </c>
      <c r="I161" s="15">
        <f t="shared" si="6"/>
        <v>6.3025210084033612E-2</v>
      </c>
      <c r="J161" s="15">
        <f t="shared" si="7"/>
        <v>0.51987044817927175</v>
      </c>
      <c r="K161" s="18">
        <f t="shared" si="8"/>
        <v>2.5996997601649536E-4</v>
      </c>
      <c r="L161" s="9" t="str" cm="1">
        <f t="array" ref="L161">_xlfn.IFS(I161&gt;5%,"High Risk",AND(I161&gt;2%,I161&lt;5%),"Modrate Risk",I161&lt;2%, "Low Risk")</f>
        <v>High Risk</v>
      </c>
    </row>
    <row r="162" spans="1:12" x14ac:dyDescent="0.25">
      <c r="A162" s="8" t="s">
        <v>164</v>
      </c>
      <c r="B162" s="8">
        <v>1483</v>
      </c>
      <c r="C162" s="8">
        <v>24</v>
      </c>
      <c r="D162" s="8">
        <v>925</v>
      </c>
      <c r="E162" s="8">
        <v>534</v>
      </c>
      <c r="F162" s="8">
        <v>587154</v>
      </c>
      <c r="G162" s="8" t="s">
        <v>199</v>
      </c>
      <c r="H162" s="1">
        <v>43903</v>
      </c>
      <c r="I162" s="14">
        <f t="shared" si="6"/>
        <v>1.6183412002697236E-2</v>
      </c>
      <c r="J162" s="14">
        <f t="shared" si="7"/>
        <v>0.62373567093728932</v>
      </c>
      <c r="K162" s="17">
        <f t="shared" si="8"/>
        <v>2.5257428204525558E-3</v>
      </c>
      <c r="L162" s="8" t="str" cm="1">
        <f t="array" ref="L162">_xlfn.IFS(I162&gt;5%,"High Risk",AND(I162&gt;2%,I162&lt;5%),"Modrate Risk",I162&lt;2%, "Low Risk")</f>
        <v>Low Risk</v>
      </c>
    </row>
    <row r="163" spans="1:12" x14ac:dyDescent="0.25">
      <c r="A163" s="9" t="s">
        <v>165</v>
      </c>
      <c r="B163" s="9">
        <v>79395</v>
      </c>
      <c r="C163" s="9">
        <v>5700</v>
      </c>
      <c r="D163" s="9">
        <v>0</v>
      </c>
      <c r="E163" s="9">
        <v>73695</v>
      </c>
      <c r="F163" s="9">
        <v>10105596</v>
      </c>
      <c r="G163" s="9" t="s">
        <v>196</v>
      </c>
      <c r="H163" s="10">
        <v>43861</v>
      </c>
      <c r="I163" s="15">
        <f t="shared" si="6"/>
        <v>7.1792934063857922E-2</v>
      </c>
      <c r="J163" s="15">
        <f t="shared" si="7"/>
        <v>0</v>
      </c>
      <c r="K163" s="18">
        <f t="shared" si="8"/>
        <v>7.8565381002763217E-3</v>
      </c>
      <c r="L163" s="9" t="str" cm="1">
        <f t="array" ref="L163">_xlfn.IFS(I163&gt;5%,"High Risk",AND(I163&gt;2%,I163&lt;5%),"Modrate Risk",I163&lt;2%, "Low Risk")</f>
        <v>High Risk</v>
      </c>
    </row>
    <row r="164" spans="1:12" x14ac:dyDescent="0.25">
      <c r="A164" s="8" t="s">
        <v>166</v>
      </c>
      <c r="B164" s="8">
        <v>34477</v>
      </c>
      <c r="C164" s="8">
        <v>1978</v>
      </c>
      <c r="D164" s="8">
        <v>30900</v>
      </c>
      <c r="E164" s="8">
        <v>1599</v>
      </c>
      <c r="F164" s="8">
        <v>8660952</v>
      </c>
      <c r="G164" s="8" t="s">
        <v>196</v>
      </c>
      <c r="H164" s="1">
        <v>43886</v>
      </c>
      <c r="I164" s="14">
        <f t="shared" si="6"/>
        <v>5.7371581054036024E-2</v>
      </c>
      <c r="J164" s="14">
        <f t="shared" si="7"/>
        <v>0.89624967369550712</v>
      </c>
      <c r="K164" s="17">
        <f t="shared" si="8"/>
        <v>3.9807402234765879E-3</v>
      </c>
      <c r="L164" s="8" t="str" cm="1">
        <f t="array" ref="L164">_xlfn.IFS(I164&gt;5%,"High Risk",AND(I164&gt;2%,I164&lt;5%),"Modrate Risk",I164&lt;2%, "Low Risk")</f>
        <v>High Risk</v>
      </c>
    </row>
    <row r="165" spans="1:12" x14ac:dyDescent="0.25">
      <c r="A165" s="9" t="s">
        <v>167</v>
      </c>
      <c r="B165" s="9">
        <v>674</v>
      </c>
      <c r="C165" s="9">
        <v>40</v>
      </c>
      <c r="D165" s="9">
        <v>0</v>
      </c>
      <c r="E165" s="9">
        <v>634</v>
      </c>
      <c r="F165" s="9">
        <v>17539600</v>
      </c>
      <c r="G165" s="9" t="s">
        <v>195</v>
      </c>
      <c r="H165" s="10">
        <v>43912</v>
      </c>
      <c r="I165" s="15">
        <f t="shared" si="6"/>
        <v>5.9347181008902079E-2</v>
      </c>
      <c r="J165" s="15">
        <f t="shared" si="7"/>
        <v>0</v>
      </c>
      <c r="K165" s="18">
        <f t="shared" si="8"/>
        <v>3.8427330155761816E-5</v>
      </c>
      <c r="L165" s="9" t="str" cm="1">
        <f t="array" ref="L165">_xlfn.IFS(I165&gt;5%,"High Risk",AND(I165&gt;2%,I165&lt;5%),"Modrate Risk",I165&lt;2%, "Low Risk")</f>
        <v>High Risk</v>
      </c>
    </row>
    <row r="166" spans="1:12" x14ac:dyDescent="0.25">
      <c r="A166" s="8" t="s">
        <v>190</v>
      </c>
      <c r="B166" s="8">
        <v>462</v>
      </c>
      <c r="C166" s="8">
        <v>7</v>
      </c>
      <c r="D166" s="8">
        <v>440</v>
      </c>
      <c r="E166" s="8">
        <v>15</v>
      </c>
      <c r="F166" s="8">
        <v>23821199</v>
      </c>
      <c r="G166" s="8" t="s">
        <v>195</v>
      </c>
      <c r="H166" s="1">
        <v>43851</v>
      </c>
      <c r="I166" s="14">
        <f t="shared" si="6"/>
        <v>1.5151515151515152E-2</v>
      </c>
      <c r="J166" s="14">
        <f t="shared" si="7"/>
        <v>0.95238095238095233</v>
      </c>
      <c r="K166" s="17">
        <f t="shared" si="8"/>
        <v>1.9394489756791838E-5</v>
      </c>
      <c r="L166" s="8" t="str" cm="1">
        <f t="array" ref="L166">_xlfn.IFS(I166&gt;5%,"High Risk",AND(I166&gt;2%,I166&lt;5%),"Modrate Risk",I166&lt;2%, "Low Risk")</f>
        <v>Low Risk</v>
      </c>
    </row>
    <row r="167" spans="1:12" x14ac:dyDescent="0.25">
      <c r="A167" s="9" t="s">
        <v>168</v>
      </c>
      <c r="B167" s="9">
        <v>7235</v>
      </c>
      <c r="C167" s="9">
        <v>60</v>
      </c>
      <c r="D167" s="9">
        <v>6028</v>
      </c>
      <c r="E167" s="9">
        <v>1147</v>
      </c>
      <c r="F167" s="9">
        <v>9557468</v>
      </c>
      <c r="G167" s="9" t="s">
        <v>195</v>
      </c>
      <c r="H167" s="10">
        <v>43951</v>
      </c>
      <c r="I167" s="15">
        <f t="shared" si="6"/>
        <v>8.2930200414651004E-3</v>
      </c>
      <c r="J167" s="15">
        <f t="shared" si="7"/>
        <v>0.83317208016586042</v>
      </c>
      <c r="K167" s="18">
        <f t="shared" si="8"/>
        <v>7.569996572313922E-4</v>
      </c>
      <c r="L167" s="9" t="str" cm="1">
        <f t="array" ref="L167">_xlfn.IFS(I167&gt;5%,"High Risk",AND(I167&gt;2%,I167&lt;5%),"Modrate Risk",I167&lt;2%, "Low Risk")</f>
        <v>Low Risk</v>
      </c>
    </row>
    <row r="168" spans="1:12" x14ac:dyDescent="0.25">
      <c r="A168" s="8" t="s">
        <v>169</v>
      </c>
      <c r="B168" s="8">
        <v>509</v>
      </c>
      <c r="C168" s="8">
        <v>21</v>
      </c>
      <c r="D168" s="8">
        <v>183</v>
      </c>
      <c r="E168" s="8">
        <v>305</v>
      </c>
      <c r="F168" s="8">
        <v>59886383</v>
      </c>
      <c r="G168" s="8" t="s">
        <v>197</v>
      </c>
      <c r="H168" s="1">
        <v>43906</v>
      </c>
      <c r="I168" s="14">
        <f t="shared" si="6"/>
        <v>4.1257367387033402E-2</v>
      </c>
      <c r="J168" s="14">
        <f t="shared" si="7"/>
        <v>0.35952848722986247</v>
      </c>
      <c r="K168" s="17">
        <f t="shared" si="8"/>
        <v>8.4994279918358071E-6</v>
      </c>
      <c r="L168" s="8" t="str" cm="1">
        <f t="array" ref="L168">_xlfn.IFS(I168&gt;5%,"High Risk",AND(I168&gt;2%,I168&lt;5%),"Modrate Risk",I168&lt;2%, "Low Risk")</f>
        <v>Modrate Risk</v>
      </c>
    </row>
    <row r="169" spans="1:12" x14ac:dyDescent="0.25">
      <c r="A169" s="9" t="s">
        <v>170</v>
      </c>
      <c r="B169" s="9">
        <v>3297</v>
      </c>
      <c r="C169" s="9">
        <v>58</v>
      </c>
      <c r="D169" s="9">
        <v>3111</v>
      </c>
      <c r="E169" s="9">
        <v>128</v>
      </c>
      <c r="F169" s="9">
        <v>69817894</v>
      </c>
      <c r="G169" s="9" t="s">
        <v>195</v>
      </c>
      <c r="H169" s="10">
        <v>43843</v>
      </c>
      <c r="I169" s="15">
        <f t="shared" si="6"/>
        <v>1.7591750075826508E-2</v>
      </c>
      <c r="J169" s="15">
        <f t="shared" si="7"/>
        <v>0.94358507734303909</v>
      </c>
      <c r="K169" s="18">
        <f t="shared" si="8"/>
        <v>4.7222850921283877E-5</v>
      </c>
      <c r="L169" s="9" t="str" cm="1">
        <f t="array" ref="L169">_xlfn.IFS(I169&gt;5%,"High Risk",AND(I169&gt;2%,I169&lt;5%),"Modrate Risk",I169&lt;2%, "Low Risk")</f>
        <v>Low Risk</v>
      </c>
    </row>
    <row r="170" spans="1:12" x14ac:dyDescent="0.25">
      <c r="A170" s="8" t="s">
        <v>171</v>
      </c>
      <c r="B170" s="8">
        <v>24</v>
      </c>
      <c r="C170" s="8">
        <v>0</v>
      </c>
      <c r="D170" s="8">
        <v>0</v>
      </c>
      <c r="E170" s="8">
        <v>24</v>
      </c>
      <c r="F170" s="8">
        <v>1320812</v>
      </c>
      <c r="G170" s="8" t="s">
        <v>195</v>
      </c>
      <c r="H170" s="1">
        <v>43911</v>
      </c>
      <c r="I170" s="14">
        <f t="shared" si="6"/>
        <v>0</v>
      </c>
      <c r="J170" s="14">
        <f t="shared" si="7"/>
        <v>0</v>
      </c>
      <c r="K170" s="17">
        <f t="shared" si="8"/>
        <v>1.8170640484792688E-5</v>
      </c>
      <c r="L170" s="8" t="str" cm="1">
        <f t="array" ref="L170">_xlfn.IFS(I170&gt;5%,"High Risk",AND(I170&gt;2%,I170&lt;5%),"Modrate Risk",I170&lt;2%, "Low Risk")</f>
        <v>Low Risk</v>
      </c>
    </row>
    <row r="171" spans="1:12" x14ac:dyDescent="0.25">
      <c r="A171" s="9" t="s">
        <v>172</v>
      </c>
      <c r="B171" s="9">
        <v>874</v>
      </c>
      <c r="C171" s="9">
        <v>18</v>
      </c>
      <c r="D171" s="9">
        <v>607</v>
      </c>
      <c r="E171" s="9">
        <v>249</v>
      </c>
      <c r="F171" s="9">
        <v>8296582</v>
      </c>
      <c r="G171" s="9" t="s">
        <v>197</v>
      </c>
      <c r="H171" s="10">
        <v>43896</v>
      </c>
      <c r="I171" s="15">
        <f t="shared" si="6"/>
        <v>2.0594965675057208E-2</v>
      </c>
      <c r="J171" s="15">
        <f t="shared" si="7"/>
        <v>0.69450800915331812</v>
      </c>
      <c r="K171" s="18">
        <f t="shared" si="8"/>
        <v>1.0534458648151732E-4</v>
      </c>
      <c r="L171" s="9" t="str" cm="1">
        <f t="array" ref="L171">_xlfn.IFS(I171&gt;5%,"High Risk",AND(I171&gt;2%,I171&lt;5%),"Modrate Risk",I171&lt;2%, "Low Risk")</f>
        <v>Modrate Risk</v>
      </c>
    </row>
    <row r="172" spans="1:12" x14ac:dyDescent="0.25">
      <c r="A172" s="8" t="s">
        <v>173</v>
      </c>
      <c r="B172" s="8">
        <v>148</v>
      </c>
      <c r="C172" s="8">
        <v>8</v>
      </c>
      <c r="D172" s="8">
        <v>128</v>
      </c>
      <c r="E172" s="8">
        <v>12</v>
      </c>
      <c r="F172" s="8">
        <v>1399950</v>
      </c>
      <c r="G172" s="8" t="s">
        <v>198</v>
      </c>
      <c r="H172" s="1">
        <v>43902</v>
      </c>
      <c r="I172" s="14">
        <f t="shared" si="6"/>
        <v>5.4054054054054057E-2</v>
      </c>
      <c r="J172" s="14">
        <f t="shared" si="7"/>
        <v>0.86486486486486491</v>
      </c>
      <c r="K172" s="17">
        <f t="shared" si="8"/>
        <v>1.0571806135933426E-4</v>
      </c>
      <c r="L172" s="8" t="str" cm="1">
        <f t="array" ref="L172">_xlfn.IFS(I172&gt;5%,"High Risk",AND(I172&gt;2%,I172&lt;5%),"Modrate Risk",I172&lt;2%, "Low Risk")</f>
        <v>High Risk</v>
      </c>
    </row>
    <row r="173" spans="1:12" x14ac:dyDescent="0.25">
      <c r="A173" s="9" t="s">
        <v>174</v>
      </c>
      <c r="B173" s="9">
        <v>1455</v>
      </c>
      <c r="C173" s="9">
        <v>50</v>
      </c>
      <c r="D173" s="9">
        <v>1157</v>
      </c>
      <c r="E173" s="9">
        <v>248</v>
      </c>
      <c r="F173" s="9">
        <v>11830801</v>
      </c>
      <c r="G173" s="9" t="s">
        <v>197</v>
      </c>
      <c r="H173" s="10">
        <v>43892</v>
      </c>
      <c r="I173" s="15">
        <f t="shared" si="6"/>
        <v>3.4364261168384883E-2</v>
      </c>
      <c r="J173" s="15">
        <f t="shared" si="7"/>
        <v>0.79518900343642607</v>
      </c>
      <c r="K173" s="18">
        <f t="shared" si="8"/>
        <v>1.2298406506879795E-4</v>
      </c>
      <c r="L173" s="9" t="str" cm="1">
        <f t="array" ref="L173">_xlfn.IFS(I173&gt;5%,"High Risk",AND(I173&gt;2%,I173&lt;5%),"Modrate Risk",I173&lt;2%, "Low Risk")</f>
        <v>Modrate Risk</v>
      </c>
    </row>
    <row r="174" spans="1:12" x14ac:dyDescent="0.25">
      <c r="A174" s="8" t="s">
        <v>175</v>
      </c>
      <c r="B174" s="8">
        <v>227019</v>
      </c>
      <c r="C174" s="8">
        <v>5630</v>
      </c>
      <c r="D174" s="8">
        <v>210469</v>
      </c>
      <c r="E174" s="8">
        <v>10920</v>
      </c>
      <c r="F174" s="8">
        <v>84428331</v>
      </c>
      <c r="G174" s="8" t="s">
        <v>195</v>
      </c>
      <c r="H174" s="1">
        <v>43901</v>
      </c>
      <c r="I174" s="14">
        <f t="shared" si="6"/>
        <v>2.4799686369863315E-2</v>
      </c>
      <c r="J174" s="14">
        <f t="shared" si="7"/>
        <v>0.92709861289143203</v>
      </c>
      <c r="K174" s="17">
        <f t="shared" si="8"/>
        <v>2.6888959820844972E-3</v>
      </c>
      <c r="L174" s="8" t="str" cm="1">
        <f t="array" ref="L174">_xlfn.IFS(I174&gt;5%,"High Risk",AND(I174&gt;2%,I174&lt;5%),"Modrate Risk",I174&lt;2%, "Low Risk")</f>
        <v>Modrate Risk</v>
      </c>
    </row>
    <row r="175" spans="1:12" x14ac:dyDescent="0.25">
      <c r="A175" s="9" t="s">
        <v>176</v>
      </c>
      <c r="B175" s="9">
        <v>4290259</v>
      </c>
      <c r="C175" s="9">
        <v>148011</v>
      </c>
      <c r="D175" s="9">
        <v>1325804</v>
      </c>
      <c r="E175" s="9">
        <v>2816444</v>
      </c>
      <c r="F175" s="9">
        <v>331198130</v>
      </c>
      <c r="G175" s="9" t="s">
        <v>198</v>
      </c>
      <c r="H175" s="10">
        <v>43851</v>
      </c>
      <c r="I175" s="15">
        <f t="shared" si="6"/>
        <v>3.4499315775574385E-2</v>
      </c>
      <c r="J175" s="15">
        <f t="shared" si="7"/>
        <v>0.30902656459668287</v>
      </c>
      <c r="K175" s="18">
        <f t="shared" si="8"/>
        <v>1.2953753694201112E-2</v>
      </c>
      <c r="L175" s="9" t="str" cm="1">
        <f t="array" ref="L175">_xlfn.IFS(I175&gt;5%,"High Risk",AND(I175&gt;2%,I175&lt;5%),"Modrate Risk",I175&lt;2%, "Low Risk")</f>
        <v>Modrate Risk</v>
      </c>
    </row>
    <row r="176" spans="1:12" x14ac:dyDescent="0.25">
      <c r="A176" s="8" t="s">
        <v>177</v>
      </c>
      <c r="B176" s="8">
        <v>1128</v>
      </c>
      <c r="C176" s="8">
        <v>2</v>
      </c>
      <c r="D176" s="8">
        <v>986</v>
      </c>
      <c r="E176" s="8">
        <v>140</v>
      </c>
      <c r="F176" s="8">
        <v>45867852</v>
      </c>
      <c r="G176" s="8" t="s">
        <v>197</v>
      </c>
      <c r="H176" s="1">
        <v>43912</v>
      </c>
      <c r="I176" s="14">
        <f t="shared" si="6"/>
        <v>1.7730496453900709E-3</v>
      </c>
      <c r="J176" s="14">
        <f t="shared" si="7"/>
        <v>0.87411347517730498</v>
      </c>
      <c r="K176" s="17">
        <f t="shared" si="8"/>
        <v>2.4592387714166339E-5</v>
      </c>
      <c r="L176" s="8" t="str" cm="1">
        <f t="array" ref="L176">_xlfn.IFS(I176&gt;5%,"High Risk",AND(I176&gt;2%,I176&lt;5%),"Modrate Risk",I176&lt;2%, "Low Risk")</f>
        <v>Low Risk</v>
      </c>
    </row>
    <row r="177" spans="1:12" x14ac:dyDescent="0.25">
      <c r="A177" s="9" t="s">
        <v>178</v>
      </c>
      <c r="B177" s="9">
        <v>67096</v>
      </c>
      <c r="C177" s="9">
        <v>1636</v>
      </c>
      <c r="D177" s="9">
        <v>37202</v>
      </c>
      <c r="E177" s="9">
        <v>28258</v>
      </c>
      <c r="F177" s="9">
        <v>43705858</v>
      </c>
      <c r="G177" s="9" t="s">
        <v>196</v>
      </c>
      <c r="H177" s="10">
        <v>43893</v>
      </c>
      <c r="I177" s="15">
        <f t="shared" si="6"/>
        <v>2.4382973649695959E-2</v>
      </c>
      <c r="J177" s="15">
        <f t="shared" si="7"/>
        <v>0.55445928222248719</v>
      </c>
      <c r="K177" s="18">
        <f t="shared" si="8"/>
        <v>1.5351717840661086E-3</v>
      </c>
      <c r="L177" s="9" t="str" cm="1">
        <f t="array" ref="L177">_xlfn.IFS(I177&gt;5%,"High Risk",AND(I177&gt;2%,I177&lt;5%),"Modrate Risk",I177&lt;2%, "Low Risk")</f>
        <v>Modrate Risk</v>
      </c>
    </row>
    <row r="178" spans="1:12" x14ac:dyDescent="0.25">
      <c r="A178" s="8" t="s">
        <v>179</v>
      </c>
      <c r="B178" s="8">
        <v>59177</v>
      </c>
      <c r="C178" s="8">
        <v>345</v>
      </c>
      <c r="D178" s="8">
        <v>52510</v>
      </c>
      <c r="E178" s="8">
        <v>6322</v>
      </c>
      <c r="F178" s="8">
        <v>9902079</v>
      </c>
      <c r="G178" s="8" t="s">
        <v>195</v>
      </c>
      <c r="H178" s="1">
        <v>43859</v>
      </c>
      <c r="I178" s="14">
        <f t="shared" si="6"/>
        <v>5.8299677239468037E-3</v>
      </c>
      <c r="J178" s="14">
        <f t="shared" si="7"/>
        <v>0.88733798604187442</v>
      </c>
      <c r="K178" s="17">
        <f t="shared" si="8"/>
        <v>5.9762197413290681E-3</v>
      </c>
      <c r="L178" s="8" t="str" cm="1">
        <f t="array" ref="L178">_xlfn.IFS(I178&gt;5%,"High Risk",AND(I178&gt;2%,I178&lt;5%),"Modrate Risk",I178&lt;2%, "Low Risk")</f>
        <v>Low Risk</v>
      </c>
    </row>
    <row r="179" spans="1:12" x14ac:dyDescent="0.25">
      <c r="A179" s="9" t="s">
        <v>180</v>
      </c>
      <c r="B179" s="9">
        <v>301708</v>
      </c>
      <c r="C179" s="9">
        <v>45844</v>
      </c>
      <c r="D179" s="9">
        <v>1437</v>
      </c>
      <c r="E179" s="9">
        <v>254427</v>
      </c>
      <c r="F179" s="9">
        <v>67922029</v>
      </c>
      <c r="G179" s="9" t="s">
        <v>196</v>
      </c>
      <c r="H179" s="10">
        <v>43861</v>
      </c>
      <c r="I179" s="15">
        <f t="shared" si="6"/>
        <v>0.15194824134593712</v>
      </c>
      <c r="J179" s="15">
        <f t="shared" si="7"/>
        <v>4.7628833176448756E-3</v>
      </c>
      <c r="K179" s="18">
        <f t="shared" si="8"/>
        <v>4.4419756659507328E-3</v>
      </c>
      <c r="L179" s="9" t="str" cm="1">
        <f t="array" ref="L179">_xlfn.IFS(I179&gt;5%,"High Risk",AND(I179&gt;2%,I179&lt;5%),"Modrate Risk",I179&lt;2%, "Low Risk")</f>
        <v>High Risk</v>
      </c>
    </row>
    <row r="180" spans="1:12" x14ac:dyDescent="0.25">
      <c r="A180" s="8" t="s">
        <v>181</v>
      </c>
      <c r="B180" s="8">
        <v>1202</v>
      </c>
      <c r="C180" s="8">
        <v>35</v>
      </c>
      <c r="D180" s="8">
        <v>951</v>
      </c>
      <c r="E180" s="8">
        <v>216</v>
      </c>
      <c r="F180" s="8">
        <v>3474956</v>
      </c>
      <c r="G180" s="8" t="s">
        <v>199</v>
      </c>
      <c r="H180" s="1">
        <v>43903</v>
      </c>
      <c r="I180" s="14">
        <f t="shared" si="6"/>
        <v>2.9118136439267885E-2</v>
      </c>
      <c r="J180" s="14">
        <f t="shared" si="7"/>
        <v>0.79118136439267883</v>
      </c>
      <c r="K180" s="17">
        <f t="shared" si="8"/>
        <v>3.4590366036289381E-4</v>
      </c>
      <c r="L180" s="8" t="str" cm="1">
        <f t="array" ref="L180">_xlfn.IFS(I180&gt;5%,"High Risk",AND(I180&gt;2%,I180&lt;5%),"Modrate Risk",I180&lt;2%, "Low Risk")</f>
        <v>Modrate Risk</v>
      </c>
    </row>
    <row r="181" spans="1:12" x14ac:dyDescent="0.25">
      <c r="A181" s="9" t="s">
        <v>182</v>
      </c>
      <c r="B181" s="9">
        <v>21209</v>
      </c>
      <c r="C181" s="9">
        <v>121</v>
      </c>
      <c r="D181" s="9">
        <v>11674</v>
      </c>
      <c r="E181" s="9">
        <v>9414</v>
      </c>
      <c r="F181" s="9">
        <v>33516027</v>
      </c>
      <c r="G181" s="9" t="s">
        <v>195</v>
      </c>
      <c r="H181" s="10">
        <v>43905</v>
      </c>
      <c r="I181" s="15">
        <f t="shared" si="6"/>
        <v>5.7051251827054551E-3</v>
      </c>
      <c r="J181" s="15">
        <f t="shared" si="7"/>
        <v>0.55042670564383045</v>
      </c>
      <c r="K181" s="18">
        <f t="shared" si="8"/>
        <v>6.3280173392866643E-4</v>
      </c>
      <c r="L181" s="9" t="str" cm="1">
        <f t="array" ref="L181">_xlfn.IFS(I181&gt;5%,"High Risk",AND(I181&gt;2%,I181&lt;5%),"Modrate Risk",I181&lt;2%, "Low Risk")</f>
        <v>Low Risk</v>
      </c>
    </row>
    <row r="182" spans="1:12" x14ac:dyDescent="0.25">
      <c r="A182" s="8" t="s">
        <v>183</v>
      </c>
      <c r="B182" s="8">
        <v>15988</v>
      </c>
      <c r="C182" s="8">
        <v>146</v>
      </c>
      <c r="D182" s="8">
        <v>9959</v>
      </c>
      <c r="E182" s="8">
        <v>5883</v>
      </c>
      <c r="F182" s="8">
        <v>28427499</v>
      </c>
      <c r="G182" s="8" t="s">
        <v>199</v>
      </c>
      <c r="H182" s="1">
        <v>43903</v>
      </c>
      <c r="I182" s="14">
        <f t="shared" si="6"/>
        <v>9.1318488866649981E-3</v>
      </c>
      <c r="J182" s="14">
        <f t="shared" si="7"/>
        <v>0.62290467850888165</v>
      </c>
      <c r="K182" s="17">
        <f t="shared" si="8"/>
        <v>5.624131760588577E-4</v>
      </c>
      <c r="L182" s="8" t="str" cm="1">
        <f t="array" ref="L182">_xlfn.IFS(I182&gt;5%,"High Risk",AND(I182&gt;2%,I182&lt;5%),"Modrate Risk",I182&lt;2%, "Low Risk")</f>
        <v>Low Risk</v>
      </c>
    </row>
    <row r="183" spans="1:12" x14ac:dyDescent="0.25">
      <c r="A183" s="9" t="s">
        <v>184</v>
      </c>
      <c r="B183" s="9">
        <v>431</v>
      </c>
      <c r="C183" s="9">
        <v>0</v>
      </c>
      <c r="D183" s="9">
        <v>365</v>
      </c>
      <c r="E183" s="9">
        <v>66</v>
      </c>
      <c r="F183" s="9">
        <v>97425470</v>
      </c>
      <c r="G183" s="9" t="s">
        <v>195</v>
      </c>
      <c r="H183" s="10">
        <v>43853</v>
      </c>
      <c r="I183" s="15">
        <f t="shared" si="6"/>
        <v>0</v>
      </c>
      <c r="J183" s="15">
        <f t="shared" si="7"/>
        <v>0.84686774941995357</v>
      </c>
      <c r="K183" s="18">
        <f t="shared" si="8"/>
        <v>4.4238944908348918E-6</v>
      </c>
      <c r="L183" s="9" t="str" cm="1">
        <f t="array" ref="L183">_xlfn.IFS(I183&gt;5%,"High Risk",AND(I183&gt;2%,I183&lt;5%),"Modrate Risk",I183&lt;2%, "Low Risk")</f>
        <v>Low Risk</v>
      </c>
    </row>
    <row r="184" spans="1:12" x14ac:dyDescent="0.25">
      <c r="A184" s="8" t="s">
        <v>185</v>
      </c>
      <c r="B184" s="8">
        <v>10621</v>
      </c>
      <c r="C184" s="8">
        <v>78</v>
      </c>
      <c r="D184" s="8">
        <v>3752</v>
      </c>
      <c r="E184" s="8">
        <v>6791</v>
      </c>
      <c r="F184" s="11">
        <v>4800000</v>
      </c>
      <c r="G184" s="8" t="s">
        <v>195</v>
      </c>
      <c r="H184" s="1">
        <v>43895</v>
      </c>
      <c r="I184" s="14">
        <f t="shared" si="6"/>
        <v>7.3439412484700125E-3</v>
      </c>
      <c r="J184" s="14">
        <f t="shared" si="7"/>
        <v>0.35326240466999342</v>
      </c>
      <c r="K184" s="17">
        <f t="shared" si="8"/>
        <v>2.2127083333333335E-3</v>
      </c>
      <c r="L184" s="8" t="str" cm="1">
        <f t="array" ref="L184">_xlfn.IFS(I184&gt;5%,"High Risk",AND(I184&gt;2%,I184&lt;5%),"Modrate Risk",I184&lt;2%, "Low Risk")</f>
        <v>Low Risk</v>
      </c>
    </row>
    <row r="185" spans="1:12" x14ac:dyDescent="0.25">
      <c r="A185" s="9" t="s">
        <v>186</v>
      </c>
      <c r="B185" s="9">
        <v>10</v>
      </c>
      <c r="C185" s="9">
        <v>1</v>
      </c>
      <c r="D185" s="9">
        <v>8</v>
      </c>
      <c r="E185" s="9">
        <v>1</v>
      </c>
      <c r="F185" s="9">
        <v>598682</v>
      </c>
      <c r="G185" s="9" t="s">
        <v>197</v>
      </c>
      <c r="H185" s="10">
        <v>43925</v>
      </c>
      <c r="I185" s="15">
        <f t="shared" si="6"/>
        <v>0.1</v>
      </c>
      <c r="J185" s="15">
        <f t="shared" si="7"/>
        <v>0.8</v>
      </c>
      <c r="K185" s="18">
        <f t="shared" si="8"/>
        <v>1.6703358377235327E-5</v>
      </c>
      <c r="L185" s="9" t="str" cm="1">
        <f t="array" ref="L185">_xlfn.IFS(I185&gt;5%,"High Risk",AND(I185&gt;2%,I185&lt;5%),"Modrate Risk",I185&lt;2%, "Low Risk")</f>
        <v>High Risk</v>
      </c>
    </row>
    <row r="186" spans="1:12" x14ac:dyDescent="0.25">
      <c r="A186" s="8" t="s">
        <v>187</v>
      </c>
      <c r="B186" s="8">
        <v>1691</v>
      </c>
      <c r="C186" s="8">
        <v>483</v>
      </c>
      <c r="D186" s="8">
        <v>833</v>
      </c>
      <c r="E186" s="8">
        <v>375</v>
      </c>
      <c r="F186" s="8">
        <v>29886897</v>
      </c>
      <c r="G186" s="8" t="s">
        <v>195</v>
      </c>
      <c r="H186" s="1">
        <v>43931</v>
      </c>
      <c r="I186" s="14">
        <f t="shared" si="6"/>
        <v>0.28562980484920164</v>
      </c>
      <c r="J186" s="14">
        <f t="shared" si="7"/>
        <v>0.49260792430514488</v>
      </c>
      <c r="K186" s="17">
        <f t="shared" si="8"/>
        <v>5.6579978844909859E-5</v>
      </c>
      <c r="L186" s="8" t="str" cm="1">
        <f t="array" ref="L186">_xlfn.IFS(I186&gt;5%,"High Risk",AND(I186&gt;2%,I186&lt;5%),"Modrate Risk",I186&lt;2%, "Low Risk")</f>
        <v>High Risk</v>
      </c>
    </row>
    <row r="187" spans="1:12" x14ac:dyDescent="0.25">
      <c r="A187" s="9" t="s">
        <v>188</v>
      </c>
      <c r="B187" s="9">
        <v>4552</v>
      </c>
      <c r="C187" s="9">
        <v>140</v>
      </c>
      <c r="D187" s="9">
        <v>2815</v>
      </c>
      <c r="E187" s="9">
        <v>1597</v>
      </c>
      <c r="F187" s="9">
        <v>18430129</v>
      </c>
      <c r="G187" s="9" t="s">
        <v>197</v>
      </c>
      <c r="H187" s="10">
        <v>43908</v>
      </c>
      <c r="I187" s="15">
        <f t="shared" si="6"/>
        <v>3.0755711775043937E-2</v>
      </c>
      <c r="J187" s="15">
        <f t="shared" si="7"/>
        <v>0.61840949033391912</v>
      </c>
      <c r="K187" s="18">
        <f t="shared" si="8"/>
        <v>2.4698687676033088E-4</v>
      </c>
      <c r="L187" s="9" t="str" cm="1">
        <f t="array" ref="L187">_xlfn.IFS(I187&gt;5%,"High Risk",AND(I187&gt;2%,I187&lt;5%),"Modrate Risk",I187&lt;2%, "Low Risk")</f>
        <v>Modrate Risk</v>
      </c>
    </row>
    <row r="188" spans="1:12" x14ac:dyDescent="0.25">
      <c r="A188" s="8" t="s">
        <v>189</v>
      </c>
      <c r="B188" s="8">
        <v>2704</v>
      </c>
      <c r="C188" s="8">
        <v>36</v>
      </c>
      <c r="D188" s="8">
        <v>542</v>
      </c>
      <c r="E188" s="8">
        <v>2126</v>
      </c>
      <c r="F188" s="8">
        <v>14883803</v>
      </c>
      <c r="G188" s="8" t="s">
        <v>197</v>
      </c>
      <c r="H188" s="1">
        <v>43911</v>
      </c>
      <c r="I188" s="14">
        <f t="shared" si="6"/>
        <v>1.3313609467455622E-2</v>
      </c>
      <c r="J188" s="14">
        <f t="shared" si="7"/>
        <v>0.20044378698224852</v>
      </c>
      <c r="K188" s="17">
        <f t="shared" si="8"/>
        <v>1.8167399823821909E-4</v>
      </c>
      <c r="L188" s="8" t="str" cm="1">
        <f t="array" ref="L188">_xlfn.IFS(I188&gt;5%,"High Risk",AND(I188&gt;2%,I188&lt;5%),"Modrate Risk",I188&lt;2%, "Low Risk")</f>
        <v>Low Risk</v>
      </c>
    </row>
  </sheetData>
  <conditionalFormatting sqref="A1:A188">
    <cfRule type="expression" dxfId="2" priority="6">
      <formula>$I1048573&gt;5%</formula>
    </cfRule>
  </conditionalFormatting>
  <conditionalFormatting sqref="I2:I188">
    <cfRule type="iconSet" priority="1">
      <iconSet iconSet="3Arrows">
        <cfvo type="percent" val="0"/>
        <cfvo type="percent" val="33"/>
        <cfvo type="percent" val="67"/>
      </iconSet>
    </cfRule>
  </conditionalFormatting>
  <conditionalFormatting sqref="J2:J188">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conditionalFormatting sqref="K2:K188">
    <cfRule type="dataBar" priority="2">
      <dataBar>
        <cfvo type="min"/>
        <cfvo type="max"/>
        <color rgb="FF638EC6"/>
      </dataBar>
      <extLst>
        <ext xmlns:x14="http://schemas.microsoft.com/office/spreadsheetml/2009/9/main" uri="{B025F937-C7B1-47D3-B67F-A62EFF666E3E}">
          <x14:id>{D0F1F276-EB82-4C2E-A33C-9F063E343C9F}</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D0F1F276-EB82-4C2E-A33C-9F063E343C9F}">
            <x14:dataBar minLength="0" maxLength="100" gradient="0">
              <x14:cfvo type="autoMin"/>
              <x14:cfvo type="autoMax"/>
              <x14:negativeFillColor rgb="FFFF0000"/>
              <x14:axisColor rgb="FF000000"/>
            </x14:dataBar>
          </x14:cfRule>
          <xm:sqref>K2:K188</xm:sqref>
        </x14:conditionalFormatting>
      </x14:conditionalFormatting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9F2B1-E6EB-4AFD-B7D3-638695BD3461}">
  <dimension ref="A1:U188"/>
  <sheetViews>
    <sheetView topLeftCell="M1" zoomScale="96" zoomScaleNormal="96" workbookViewId="0">
      <selection activeCell="Z17" sqref="Z17"/>
    </sheetView>
  </sheetViews>
  <sheetFormatPr defaultRowHeight="15" x14ac:dyDescent="0.25"/>
  <cols>
    <col min="1" max="1" width="30.7109375" bestFit="1" customWidth="1"/>
    <col min="2" max="2" width="10.7109375" bestFit="1" customWidth="1"/>
    <col min="3" max="3" width="7.42578125" bestFit="1" customWidth="1"/>
    <col min="4" max="4" width="10.7109375" bestFit="1" customWidth="1"/>
    <col min="5" max="5" width="8" bestFit="1" customWidth="1"/>
    <col min="6" max="6" width="11" bestFit="1" customWidth="1"/>
    <col min="7" max="7" width="17.42578125" bestFit="1" customWidth="1"/>
    <col min="8" max="8" width="16.42578125" bestFit="1" customWidth="1"/>
    <col min="9" max="9" width="14.5703125" bestFit="1" customWidth="1"/>
    <col min="10" max="10" width="17.7109375" bestFit="1" customWidth="1"/>
    <col min="11" max="11" width="17.42578125" bestFit="1" customWidth="1"/>
    <col min="12" max="12" width="12.42578125" bestFit="1" customWidth="1"/>
    <col min="14" max="14" width="13.42578125" bestFit="1" customWidth="1"/>
    <col min="15" max="15" width="17.7109375" bestFit="1" customWidth="1"/>
    <col min="16" max="16" width="12" bestFit="1" customWidth="1"/>
    <col min="17" max="18" width="11.28515625" bestFit="1" customWidth="1"/>
    <col min="19" max="19" width="13.42578125" bestFit="1" customWidth="1"/>
    <col min="20" max="20" width="17.7109375" bestFit="1" customWidth="1"/>
    <col min="21" max="21" width="21.5703125" bestFit="1" customWidth="1"/>
    <col min="22" max="26" width="11.28515625" bestFit="1" customWidth="1"/>
    <col min="27" max="27" width="10.7109375" bestFit="1" customWidth="1"/>
    <col min="28" max="37" width="11.7109375" bestFit="1" customWidth="1"/>
    <col min="38" max="46" width="10.7109375" bestFit="1" customWidth="1"/>
    <col min="47" max="64" width="11.7109375" bestFit="1" customWidth="1"/>
    <col min="65" max="68" width="10.42578125" bestFit="1" customWidth="1"/>
    <col min="69" max="70" width="11.42578125" bestFit="1" customWidth="1"/>
    <col min="71" max="71" width="12" bestFit="1" customWidth="1"/>
    <col min="72" max="72" width="11.28515625" bestFit="1" customWidth="1"/>
  </cols>
  <sheetData>
    <row r="1" spans="1:21" x14ac:dyDescent="0.25">
      <c r="A1" s="5" t="s">
        <v>0</v>
      </c>
      <c r="B1" s="5" t="s">
        <v>1</v>
      </c>
      <c r="C1" s="5" t="s">
        <v>2</v>
      </c>
      <c r="D1" s="5" t="s">
        <v>3</v>
      </c>
      <c r="E1" s="5" t="s">
        <v>4</v>
      </c>
      <c r="F1" s="6" t="s">
        <v>192</v>
      </c>
      <c r="G1" s="5" t="s">
        <v>193</v>
      </c>
      <c r="H1" s="7" t="s">
        <v>194</v>
      </c>
      <c r="I1" s="5" t="s">
        <v>201</v>
      </c>
      <c r="J1" s="5" t="s">
        <v>202</v>
      </c>
      <c r="K1" s="16" t="s">
        <v>203</v>
      </c>
      <c r="L1" s="5" t="s">
        <v>204</v>
      </c>
    </row>
    <row r="2" spans="1:21" x14ac:dyDescent="0.25">
      <c r="A2" s="8" t="s">
        <v>5</v>
      </c>
      <c r="B2" s="8">
        <v>36263</v>
      </c>
      <c r="C2" s="8">
        <v>1269</v>
      </c>
      <c r="D2" s="8">
        <v>25198</v>
      </c>
      <c r="E2" s="8">
        <v>9796</v>
      </c>
      <c r="F2" s="8">
        <v>39009447</v>
      </c>
      <c r="G2" s="8" t="s">
        <v>195</v>
      </c>
      <c r="H2" s="1">
        <v>43885</v>
      </c>
      <c r="I2" s="14">
        <f t="shared" ref="I2:I65" si="0">C2/B2</f>
        <v>3.4994346854920991E-2</v>
      </c>
      <c r="J2" s="14">
        <f t="shared" ref="J2:J65" si="1">D2/B2</f>
        <v>0.69486804732096075</v>
      </c>
      <c r="K2" s="17">
        <f t="shared" ref="K2:K65" si="2">B2/F2</f>
        <v>9.2959533622714516E-4</v>
      </c>
      <c r="L2" s="8" t="str" cm="1">
        <f t="array" ref="L2">_xlfn.IFS(I2&gt;5%,"High Risk",AND(I2&gt;2%,I2&lt;5%),"Modrate Risk",I2&lt;2%, "Low Risk")</f>
        <v>Modrate Risk</v>
      </c>
      <c r="T2" s="19" t="s">
        <v>205</v>
      </c>
      <c r="U2" t="s">
        <v>207</v>
      </c>
    </row>
    <row r="3" spans="1:21" x14ac:dyDescent="0.25">
      <c r="A3" s="9" t="s">
        <v>6</v>
      </c>
      <c r="B3" s="9">
        <v>4880</v>
      </c>
      <c r="C3" s="9">
        <v>144</v>
      </c>
      <c r="D3" s="9">
        <v>2745</v>
      </c>
      <c r="E3" s="9">
        <v>1991</v>
      </c>
      <c r="F3" s="9">
        <v>2877470</v>
      </c>
      <c r="G3" s="9" t="s">
        <v>196</v>
      </c>
      <c r="H3" s="10">
        <v>43899</v>
      </c>
      <c r="I3" s="15">
        <f t="shared" si="0"/>
        <v>2.9508196721311476E-2</v>
      </c>
      <c r="J3" s="15">
        <f t="shared" si="1"/>
        <v>0.5625</v>
      </c>
      <c r="K3" s="18">
        <f t="shared" si="2"/>
        <v>1.6959342755962703E-3</v>
      </c>
      <c r="L3" s="9" t="str" cm="1">
        <f t="array" ref="L3">_xlfn.IFS(I3&gt;5%,"High Risk",AND(I3&gt;2%,I3&lt;5%),"Modrate Risk",I3&lt;2%, "Low Risk")</f>
        <v>Modrate Risk</v>
      </c>
      <c r="N3" s="19" t="s">
        <v>205</v>
      </c>
      <c r="O3" t="s">
        <v>207</v>
      </c>
      <c r="T3" s="20" t="s">
        <v>197</v>
      </c>
      <c r="U3" s="37">
        <v>947320</v>
      </c>
    </row>
    <row r="4" spans="1:21" x14ac:dyDescent="0.25">
      <c r="A4" s="8" t="s">
        <v>7</v>
      </c>
      <c r="B4" s="8">
        <v>27973</v>
      </c>
      <c r="C4" s="8">
        <v>1163</v>
      </c>
      <c r="D4" s="8">
        <v>18837</v>
      </c>
      <c r="E4" s="8">
        <v>7973</v>
      </c>
      <c r="F4" s="8">
        <v>43926079</v>
      </c>
      <c r="G4" s="8" t="s">
        <v>197</v>
      </c>
      <c r="H4" s="1">
        <v>43886</v>
      </c>
      <c r="I4" s="14">
        <f t="shared" si="0"/>
        <v>4.1575805240767885E-2</v>
      </c>
      <c r="J4" s="14">
        <f t="shared" si="1"/>
        <v>0.67339934937260926</v>
      </c>
      <c r="K4" s="17">
        <f t="shared" si="2"/>
        <v>6.3681987185790017E-4</v>
      </c>
      <c r="L4" s="8" t="str" cm="1">
        <f t="array" ref="L4">_xlfn.IFS(I4&gt;5%,"High Risk",AND(I4&gt;2%,I4&lt;5%),"Modrate Risk",I4&lt;2%, "Low Risk")</f>
        <v>Modrate Risk</v>
      </c>
      <c r="N4" s="20" t="s">
        <v>208</v>
      </c>
      <c r="O4" s="37">
        <v>307135</v>
      </c>
      <c r="T4" s="20" t="s">
        <v>195</v>
      </c>
      <c r="U4" s="37">
        <v>3946274</v>
      </c>
    </row>
    <row r="5" spans="1:21" x14ac:dyDescent="0.25">
      <c r="A5" s="9" t="s">
        <v>8</v>
      </c>
      <c r="B5" s="9">
        <v>907</v>
      </c>
      <c r="C5" s="9">
        <v>52</v>
      </c>
      <c r="D5" s="9">
        <v>803</v>
      </c>
      <c r="E5" s="9">
        <v>52</v>
      </c>
      <c r="F5" s="9">
        <v>77278</v>
      </c>
      <c r="G5" s="9" t="s">
        <v>196</v>
      </c>
      <c r="H5" s="10">
        <v>43892</v>
      </c>
      <c r="I5" s="15">
        <f t="shared" si="0"/>
        <v>5.7331863285556783E-2</v>
      </c>
      <c r="J5" s="15">
        <f t="shared" si="1"/>
        <v>0.88533627342888643</v>
      </c>
      <c r="K5" s="18">
        <f t="shared" si="2"/>
        <v>1.1736846191671627E-2</v>
      </c>
      <c r="L5" s="9" t="str" cm="1">
        <f t="array" ref="L5">_xlfn.IFS(I5&gt;5%,"High Risk",AND(I5&gt;2%,I5&lt;5%),"Modrate Risk",I5&lt;2%, "Low Risk")</f>
        <v>High Risk</v>
      </c>
      <c r="N5" s="21" t="s">
        <v>210</v>
      </c>
      <c r="O5" s="37">
        <v>307135</v>
      </c>
      <c r="T5" s="20" t="s">
        <v>200</v>
      </c>
      <c r="U5" s="37">
        <v>16949</v>
      </c>
    </row>
    <row r="6" spans="1:21" x14ac:dyDescent="0.25">
      <c r="A6" s="8" t="s">
        <v>9</v>
      </c>
      <c r="B6" s="8">
        <v>950</v>
      </c>
      <c r="C6" s="8">
        <v>41</v>
      </c>
      <c r="D6" s="8">
        <v>242</v>
      </c>
      <c r="E6" s="8">
        <v>667</v>
      </c>
      <c r="F6" s="8">
        <v>32956300</v>
      </c>
      <c r="G6" s="8" t="s">
        <v>197</v>
      </c>
      <c r="H6" s="1">
        <v>43911</v>
      </c>
      <c r="I6" s="14">
        <f t="shared" si="0"/>
        <v>4.3157894736842103E-2</v>
      </c>
      <c r="J6" s="14">
        <f t="shared" si="1"/>
        <v>0.25473684210526315</v>
      </c>
      <c r="K6" s="17">
        <f t="shared" si="2"/>
        <v>2.8826051468156317E-5</v>
      </c>
      <c r="L6" s="8" t="str" cm="1">
        <f t="array" ref="L6">_xlfn.IFS(I6&gt;5%,"High Risk",AND(I6&gt;2%,I6&lt;5%),"Modrate Risk",I6&lt;2%, "Low Risk")</f>
        <v>Modrate Risk</v>
      </c>
      <c r="N6" s="22" t="s">
        <v>211</v>
      </c>
      <c r="O6" s="37">
        <v>86783</v>
      </c>
      <c r="T6" s="20" t="s">
        <v>196</v>
      </c>
      <c r="U6" s="37">
        <v>2792084</v>
      </c>
    </row>
    <row r="7" spans="1:21" x14ac:dyDescent="0.25">
      <c r="A7" s="9" t="s">
        <v>10</v>
      </c>
      <c r="B7" s="9">
        <v>86</v>
      </c>
      <c r="C7" s="9">
        <v>3</v>
      </c>
      <c r="D7" s="9">
        <v>65</v>
      </c>
      <c r="E7" s="9">
        <v>18</v>
      </c>
      <c r="F7" s="9">
        <v>98010</v>
      </c>
      <c r="G7" s="9" t="s">
        <v>198</v>
      </c>
      <c r="H7" s="10">
        <v>43903</v>
      </c>
      <c r="I7" s="15">
        <f t="shared" si="0"/>
        <v>3.4883720930232558E-2</v>
      </c>
      <c r="J7" s="15">
        <f t="shared" si="1"/>
        <v>0.7558139534883721</v>
      </c>
      <c r="K7" s="18">
        <f t="shared" si="2"/>
        <v>8.7746148352208962E-4</v>
      </c>
      <c r="L7" s="9" t="str" cm="1">
        <f t="array" ref="L7">_xlfn.IFS(I7&gt;5%,"High Risk",AND(I7&gt;2%,I7&lt;5%),"Modrate Risk",I7&lt;2%, "Low Risk")</f>
        <v>Modrate Risk</v>
      </c>
      <c r="N7" s="22" t="s">
        <v>212</v>
      </c>
      <c r="O7" s="37">
        <v>220352</v>
      </c>
      <c r="T7" s="20" t="s">
        <v>198</v>
      </c>
      <c r="U7" s="37">
        <v>4997374</v>
      </c>
    </row>
    <row r="8" spans="1:21" x14ac:dyDescent="0.25">
      <c r="A8" s="8" t="s">
        <v>11</v>
      </c>
      <c r="B8" s="8">
        <v>167416</v>
      </c>
      <c r="C8" s="8">
        <v>3059</v>
      </c>
      <c r="D8" s="8">
        <v>72575</v>
      </c>
      <c r="E8" s="8">
        <v>91782</v>
      </c>
      <c r="F8" s="8">
        <v>45236884</v>
      </c>
      <c r="G8" s="8" t="s">
        <v>199</v>
      </c>
      <c r="H8" s="1">
        <v>43893</v>
      </c>
      <c r="I8" s="14">
        <f t="shared" si="0"/>
        <v>1.8271849763463469E-2</v>
      </c>
      <c r="J8" s="14">
        <f t="shared" si="1"/>
        <v>0.43350097959573758</v>
      </c>
      <c r="K8" s="17">
        <f t="shared" si="2"/>
        <v>3.7008738267649026E-3</v>
      </c>
      <c r="L8" s="8" t="str" cm="1">
        <f t="array" ref="L8">_xlfn.IFS(I8&gt;5%,"High Risk",AND(I8&gt;2%,I8&lt;5%),"Modrate Risk",I8&lt;2%, "Low Risk")</f>
        <v>Low Risk</v>
      </c>
      <c r="N8" s="20" t="s">
        <v>209</v>
      </c>
      <c r="O8" s="37">
        <v>16173350</v>
      </c>
      <c r="T8" s="20" t="s">
        <v>199</v>
      </c>
      <c r="U8" s="37">
        <v>3780484</v>
      </c>
    </row>
    <row r="9" spans="1:21" x14ac:dyDescent="0.25">
      <c r="A9" s="9" t="s">
        <v>12</v>
      </c>
      <c r="B9" s="9">
        <v>37390</v>
      </c>
      <c r="C9" s="9">
        <v>711</v>
      </c>
      <c r="D9" s="9">
        <v>26665</v>
      </c>
      <c r="E9" s="9">
        <v>10014</v>
      </c>
      <c r="F9" s="9">
        <v>2963811</v>
      </c>
      <c r="G9" s="9" t="s">
        <v>195</v>
      </c>
      <c r="H9" s="10">
        <v>43891</v>
      </c>
      <c r="I9" s="15">
        <f t="shared" si="0"/>
        <v>1.901577962021931E-2</v>
      </c>
      <c r="J9" s="15">
        <f t="shared" si="1"/>
        <v>0.71315859855576358</v>
      </c>
      <c r="K9" s="18">
        <f t="shared" si="2"/>
        <v>1.2615514282118529E-2</v>
      </c>
      <c r="L9" s="9" t="str" cm="1">
        <f t="array" ref="L9">_xlfn.IFS(I9&gt;5%,"High Risk",AND(I9&gt;2%,I9&lt;5%),"Modrate Risk",I9&lt;2%, "Low Risk")</f>
        <v>Low Risk</v>
      </c>
      <c r="N9" s="21" t="s">
        <v>213</v>
      </c>
      <c r="O9" s="37">
        <v>16156721</v>
      </c>
      <c r="T9" s="20" t="s">
        <v>206</v>
      </c>
      <c r="U9" s="37">
        <v>16480485</v>
      </c>
    </row>
    <row r="10" spans="1:21" x14ac:dyDescent="0.25">
      <c r="A10" s="8" t="s">
        <v>13</v>
      </c>
      <c r="B10" s="8">
        <v>15303</v>
      </c>
      <c r="C10" s="8">
        <v>167</v>
      </c>
      <c r="D10" s="8">
        <v>9311</v>
      </c>
      <c r="E10" s="8">
        <v>5825</v>
      </c>
      <c r="F10" s="8">
        <v>25528864</v>
      </c>
      <c r="G10" s="8" t="s">
        <v>200</v>
      </c>
      <c r="H10" s="1">
        <v>43855</v>
      </c>
      <c r="I10" s="14">
        <f t="shared" si="0"/>
        <v>1.0912892896817617E-2</v>
      </c>
      <c r="J10" s="14">
        <f t="shared" si="1"/>
        <v>0.60844278899562176</v>
      </c>
      <c r="K10" s="17">
        <f t="shared" si="2"/>
        <v>5.9943912897965216E-4</v>
      </c>
      <c r="L10" s="8" t="str" cm="1">
        <f t="array" ref="L10">_xlfn.IFS(I10&gt;5%,"High Risk",AND(I10&gt;2%,I10&lt;5%),"Modrate Risk",I10&lt;2%, "Low Risk")</f>
        <v>Low Risk</v>
      </c>
      <c r="N10" s="22" t="s">
        <v>215</v>
      </c>
      <c r="O10" s="37">
        <v>8097972</v>
      </c>
    </row>
    <row r="11" spans="1:21" x14ac:dyDescent="0.25">
      <c r="A11" s="9" t="s">
        <v>14</v>
      </c>
      <c r="B11" s="9">
        <v>20558</v>
      </c>
      <c r="C11" s="9">
        <v>713</v>
      </c>
      <c r="D11" s="9">
        <v>18246</v>
      </c>
      <c r="E11" s="9">
        <v>1599</v>
      </c>
      <c r="F11" s="9">
        <v>9011577</v>
      </c>
      <c r="G11" s="9" t="s">
        <v>196</v>
      </c>
      <c r="H11" s="10">
        <v>43886</v>
      </c>
      <c r="I11" s="15">
        <f t="shared" si="0"/>
        <v>3.4682362097480303E-2</v>
      </c>
      <c r="J11" s="15">
        <f t="shared" si="1"/>
        <v>0.88753769821967121</v>
      </c>
      <c r="K11" s="18">
        <f t="shared" si="2"/>
        <v>2.2812877257776302E-3</v>
      </c>
      <c r="L11" s="9" t="str" cm="1">
        <f t="array" ref="L11">_xlfn.IFS(I11&gt;5%,"High Risk",AND(I11&gt;2%,I11&lt;5%),"Modrate Risk",I11&lt;2%, "Low Risk")</f>
        <v>Modrate Risk</v>
      </c>
      <c r="N11" s="22" t="s">
        <v>216</v>
      </c>
      <c r="O11" s="37">
        <v>4565502</v>
      </c>
    </row>
    <row r="12" spans="1:21" x14ac:dyDescent="0.25">
      <c r="A12" s="8" t="s">
        <v>15</v>
      </c>
      <c r="B12" s="8">
        <v>30446</v>
      </c>
      <c r="C12" s="8">
        <v>423</v>
      </c>
      <c r="D12" s="8">
        <v>23242</v>
      </c>
      <c r="E12" s="8">
        <v>6781</v>
      </c>
      <c r="F12" s="8">
        <v>10148243</v>
      </c>
      <c r="G12" s="8" t="s">
        <v>195</v>
      </c>
      <c r="H12" s="1">
        <v>43889</v>
      </c>
      <c r="I12" s="14">
        <f t="shared" si="0"/>
        <v>1.389345069959929E-2</v>
      </c>
      <c r="J12" s="14">
        <f t="shared" si="1"/>
        <v>0.76338435262431847</v>
      </c>
      <c r="K12" s="17">
        <f t="shared" si="2"/>
        <v>3.0001252433549336E-3</v>
      </c>
      <c r="L12" s="8" t="str" cm="1">
        <f t="array" ref="L12">_xlfn.IFS(I12&gt;5%,"High Risk",AND(I12&gt;2%,I12&lt;5%),"Modrate Risk",I12&lt;2%, "Low Risk")</f>
        <v>Low Risk</v>
      </c>
      <c r="N12" s="22" t="s">
        <v>217</v>
      </c>
      <c r="O12" s="37">
        <v>3493247</v>
      </c>
    </row>
    <row r="13" spans="1:21" x14ac:dyDescent="0.25">
      <c r="A13" s="9" t="s">
        <v>16</v>
      </c>
      <c r="B13" s="9">
        <v>382</v>
      </c>
      <c r="C13" s="9">
        <v>11</v>
      </c>
      <c r="D13" s="9">
        <v>91</v>
      </c>
      <c r="E13" s="9">
        <v>280</v>
      </c>
      <c r="F13" s="9">
        <v>393616</v>
      </c>
      <c r="G13" s="9" t="s">
        <v>198</v>
      </c>
      <c r="H13" s="10">
        <v>43905</v>
      </c>
      <c r="I13" s="15">
        <f t="shared" si="0"/>
        <v>2.8795811518324606E-2</v>
      </c>
      <c r="J13" s="15">
        <f t="shared" si="1"/>
        <v>0.23821989528795812</v>
      </c>
      <c r="K13" s="18">
        <f t="shared" si="2"/>
        <v>9.7048900451201169E-4</v>
      </c>
      <c r="L13" s="9" t="str" cm="1">
        <f t="array" ref="L13">_xlfn.IFS(I13&gt;5%,"High Risk",AND(I13&gt;2%,I13&lt;5%),"Modrate Risk",I13&lt;2%, "Low Risk")</f>
        <v>Modrate Risk</v>
      </c>
      <c r="N13" s="21" t="s">
        <v>214</v>
      </c>
      <c r="O13" s="37">
        <v>16629</v>
      </c>
    </row>
    <row r="14" spans="1:21" x14ac:dyDescent="0.25">
      <c r="A14" s="8" t="s">
        <v>17</v>
      </c>
      <c r="B14" s="8">
        <v>39482</v>
      </c>
      <c r="C14" s="8">
        <v>141</v>
      </c>
      <c r="D14" s="8">
        <v>36110</v>
      </c>
      <c r="E14" s="8">
        <v>3231</v>
      </c>
      <c r="F14" s="8">
        <v>1706669</v>
      </c>
      <c r="G14" s="8" t="s">
        <v>195</v>
      </c>
      <c r="H14" s="1">
        <v>43882</v>
      </c>
      <c r="I14" s="14">
        <f t="shared" si="0"/>
        <v>3.5712476571602247E-3</v>
      </c>
      <c r="J14" s="14">
        <f t="shared" si="1"/>
        <v>0.91459399219897675</v>
      </c>
      <c r="K14" s="17">
        <f t="shared" si="2"/>
        <v>2.3133952746548978E-2</v>
      </c>
      <c r="L14" s="8" t="str" cm="1">
        <f t="array" ref="L14">_xlfn.IFS(I14&gt;5%,"High Risk",AND(I14&gt;2%,I14&lt;5%),"Modrate Risk",I14&lt;2%, "Low Risk")</f>
        <v>Low Risk</v>
      </c>
      <c r="N14" s="22" t="s">
        <v>218</v>
      </c>
      <c r="O14" s="37">
        <v>16124</v>
      </c>
    </row>
    <row r="15" spans="1:21" x14ac:dyDescent="0.25">
      <c r="A15" s="9" t="s">
        <v>18</v>
      </c>
      <c r="B15" s="9">
        <v>226225</v>
      </c>
      <c r="C15" s="9">
        <v>2965</v>
      </c>
      <c r="D15" s="9">
        <v>125683</v>
      </c>
      <c r="E15" s="9">
        <v>97577</v>
      </c>
      <c r="F15" s="9">
        <v>164851401</v>
      </c>
      <c r="G15" s="9" t="s">
        <v>195</v>
      </c>
      <c r="H15" s="10">
        <v>43898</v>
      </c>
      <c r="I15" s="15">
        <f t="shared" si="0"/>
        <v>1.3106420598961211E-2</v>
      </c>
      <c r="J15" s="15">
        <f t="shared" si="1"/>
        <v>0.55556636092385903</v>
      </c>
      <c r="K15" s="18">
        <f t="shared" si="2"/>
        <v>1.3722964962851604E-3</v>
      </c>
      <c r="L15" s="9" t="str" cm="1">
        <f t="array" ref="L15">_xlfn.IFS(I15&gt;5%,"High Risk",AND(I15&gt;2%,I15&lt;5%),"Modrate Risk",I15&lt;2%, "Low Risk")</f>
        <v>Low Risk</v>
      </c>
      <c r="N15" s="22" t="s">
        <v>219</v>
      </c>
      <c r="O15" s="37">
        <v>505</v>
      </c>
    </row>
    <row r="16" spans="1:21" x14ac:dyDescent="0.25">
      <c r="A16" s="8" t="s">
        <v>19</v>
      </c>
      <c r="B16" s="8">
        <v>110</v>
      </c>
      <c r="C16" s="8">
        <v>7</v>
      </c>
      <c r="D16" s="8">
        <v>94</v>
      </c>
      <c r="E16" s="8">
        <v>9</v>
      </c>
      <c r="F16" s="8">
        <v>287411</v>
      </c>
      <c r="G16" s="8" t="s">
        <v>198</v>
      </c>
      <c r="H16" s="1">
        <v>43907</v>
      </c>
      <c r="I16" s="14">
        <f t="shared" si="0"/>
        <v>6.363636363636363E-2</v>
      </c>
      <c r="J16" s="14">
        <f t="shared" si="1"/>
        <v>0.8545454545454545</v>
      </c>
      <c r="K16" s="17">
        <f t="shared" si="2"/>
        <v>3.8272717467320317E-4</v>
      </c>
      <c r="L16" s="8" t="str" cm="1">
        <f t="array" ref="L16">_xlfn.IFS(I16&gt;5%,"High Risk",AND(I16&gt;2%,I16&lt;5%),"Modrate Risk",I16&lt;2%, "Low Risk")</f>
        <v>High Risk</v>
      </c>
      <c r="N16" s="20" t="s">
        <v>206</v>
      </c>
      <c r="O16" s="37">
        <v>16480485</v>
      </c>
    </row>
    <row r="17" spans="1:21" x14ac:dyDescent="0.25">
      <c r="A17" s="9" t="s">
        <v>20</v>
      </c>
      <c r="B17" s="9">
        <v>67251</v>
      </c>
      <c r="C17" s="9">
        <v>538</v>
      </c>
      <c r="D17" s="9">
        <v>60492</v>
      </c>
      <c r="E17" s="9">
        <v>6221</v>
      </c>
      <c r="F17" s="9">
        <v>9449001</v>
      </c>
      <c r="G17" s="9" t="s">
        <v>196</v>
      </c>
      <c r="H17" s="10">
        <v>43889</v>
      </c>
      <c r="I17" s="15">
        <f t="shared" si="0"/>
        <v>7.9998810426610764E-3</v>
      </c>
      <c r="J17" s="15">
        <f t="shared" si="1"/>
        <v>0.89949591827630815</v>
      </c>
      <c r="K17" s="18">
        <f t="shared" si="2"/>
        <v>7.1172603326002401E-3</v>
      </c>
      <c r="L17" s="9" t="str" cm="1">
        <f t="array" ref="L17">_xlfn.IFS(I17&gt;5%,"High Risk",AND(I17&gt;2%,I17&lt;5%),"Modrate Risk",I17&lt;2%, "Low Risk")</f>
        <v>Low Risk</v>
      </c>
      <c r="S17" s="19" t="s">
        <v>205</v>
      </c>
      <c r="T17" t="s">
        <v>207</v>
      </c>
      <c r="U17" t="s">
        <v>220</v>
      </c>
    </row>
    <row r="18" spans="1:21" x14ac:dyDescent="0.25">
      <c r="A18" s="8" t="s">
        <v>21</v>
      </c>
      <c r="B18" s="8">
        <v>66428</v>
      </c>
      <c r="C18" s="8">
        <v>9822</v>
      </c>
      <c r="D18" s="8">
        <v>17452</v>
      </c>
      <c r="E18" s="8">
        <v>39154</v>
      </c>
      <c r="F18" s="8">
        <v>11594739</v>
      </c>
      <c r="G18" s="8" t="s">
        <v>196</v>
      </c>
      <c r="H18" s="1">
        <v>43865</v>
      </c>
      <c r="I18" s="14">
        <f t="shared" si="0"/>
        <v>0.14785933642439936</v>
      </c>
      <c r="J18" s="14">
        <f t="shared" si="1"/>
        <v>0.26272053953152286</v>
      </c>
      <c r="K18" s="17">
        <f t="shared" si="2"/>
        <v>5.7291500912612179E-3</v>
      </c>
      <c r="L18" s="8" t="str" cm="1">
        <f t="array" ref="L18">_xlfn.IFS(I18&gt;5%,"High Risk",AND(I18&gt;2%,I18&lt;5%),"Modrate Risk",I18&lt;2%, "Low Risk")</f>
        <v>High Risk</v>
      </c>
      <c r="N18" s="19" t="s">
        <v>205</v>
      </c>
      <c r="O18" s="19" t="s">
        <v>207</v>
      </c>
      <c r="P18" t="s">
        <v>222</v>
      </c>
      <c r="S18" s="20" t="s">
        <v>208</v>
      </c>
      <c r="T18" s="37"/>
      <c r="U18" s="23"/>
    </row>
    <row r="19" spans="1:21" x14ac:dyDescent="0.25">
      <c r="A19" s="9" t="s">
        <v>22</v>
      </c>
      <c r="B19" s="9">
        <v>48</v>
      </c>
      <c r="C19" s="9">
        <v>2</v>
      </c>
      <c r="D19" s="9">
        <v>26</v>
      </c>
      <c r="E19" s="9">
        <v>20</v>
      </c>
      <c r="F19" s="9">
        <v>398312</v>
      </c>
      <c r="G19" s="9" t="s">
        <v>198</v>
      </c>
      <c r="H19" s="10">
        <v>43913</v>
      </c>
      <c r="I19" s="15">
        <f t="shared" si="0"/>
        <v>4.1666666666666664E-2</v>
      </c>
      <c r="J19" s="15">
        <f t="shared" si="1"/>
        <v>0.54166666666666663</v>
      </c>
      <c r="K19" s="18">
        <f t="shared" si="2"/>
        <v>1.2050854606439174E-4</v>
      </c>
      <c r="L19" s="9" t="str" cm="1">
        <f t="array" ref="L19">_xlfn.IFS(I19&gt;5%,"High Risk",AND(I19&gt;2%,I19&lt;5%),"Modrate Risk",I19&lt;2%, "Low Risk")</f>
        <v>Modrate Risk</v>
      </c>
      <c r="N19" s="20" t="s">
        <v>28</v>
      </c>
      <c r="O19">
        <v>2442375</v>
      </c>
      <c r="P19">
        <v>1846641</v>
      </c>
      <c r="S19" s="21" t="s">
        <v>210</v>
      </c>
      <c r="T19" s="37"/>
      <c r="U19" s="23"/>
    </row>
    <row r="20" spans="1:21" x14ac:dyDescent="0.25">
      <c r="A20" s="8" t="s">
        <v>23</v>
      </c>
      <c r="B20" s="8">
        <v>1770</v>
      </c>
      <c r="C20" s="8">
        <v>35</v>
      </c>
      <c r="D20" s="8">
        <v>1036</v>
      </c>
      <c r="E20" s="8">
        <v>699</v>
      </c>
      <c r="F20" s="8">
        <v>12151976</v>
      </c>
      <c r="G20" s="8" t="s">
        <v>197</v>
      </c>
      <c r="H20" s="1">
        <v>43906</v>
      </c>
      <c r="I20" s="14">
        <f t="shared" si="0"/>
        <v>1.977401129943503E-2</v>
      </c>
      <c r="J20" s="14">
        <f t="shared" si="1"/>
        <v>0.58531073446327686</v>
      </c>
      <c r="K20" s="17">
        <f t="shared" si="2"/>
        <v>1.4565532387489903E-4</v>
      </c>
      <c r="L20" s="8" t="str" cm="1">
        <f t="array" ref="L20">_xlfn.IFS(I20&gt;5%,"High Risk",AND(I20&gt;2%,I20&lt;5%),"Modrate Risk",I20&lt;2%, "Low Risk")</f>
        <v>Low Risk</v>
      </c>
      <c r="N20" s="20" t="s">
        <v>39</v>
      </c>
      <c r="O20">
        <v>347923</v>
      </c>
      <c r="P20">
        <v>319954</v>
      </c>
      <c r="S20" s="22" t="s">
        <v>211</v>
      </c>
      <c r="T20" s="37">
        <v>86783</v>
      </c>
      <c r="U20" s="23">
        <v>5.365106069161011E-2</v>
      </c>
    </row>
    <row r="21" spans="1:21" x14ac:dyDescent="0.25">
      <c r="A21" s="9" t="s">
        <v>24</v>
      </c>
      <c r="B21" s="9">
        <v>99</v>
      </c>
      <c r="C21" s="9">
        <v>0</v>
      </c>
      <c r="D21" s="9">
        <v>86</v>
      </c>
      <c r="E21" s="9">
        <v>13</v>
      </c>
      <c r="F21" s="9">
        <v>772443</v>
      </c>
      <c r="G21" s="9" t="s">
        <v>195</v>
      </c>
      <c r="H21" s="10">
        <v>43896</v>
      </c>
      <c r="I21" s="15">
        <f t="shared" si="0"/>
        <v>0</v>
      </c>
      <c r="J21" s="15">
        <f t="shared" si="1"/>
        <v>0.86868686868686873</v>
      </c>
      <c r="K21" s="18">
        <f t="shared" si="2"/>
        <v>1.2816479662577045E-4</v>
      </c>
      <c r="L21" s="9" t="str" cm="1">
        <f t="array" ref="L21">_xlfn.IFS(I21&gt;5%,"High Risk",AND(I21&gt;2%,I21&lt;5%),"Modrate Risk",I21&lt;2%, "Low Risk")</f>
        <v>Low Risk</v>
      </c>
      <c r="N21" s="20" t="s">
        <v>83</v>
      </c>
      <c r="O21">
        <v>1480073</v>
      </c>
      <c r="P21">
        <v>951166</v>
      </c>
      <c r="S21" s="22" t="s">
        <v>212</v>
      </c>
      <c r="T21" s="37">
        <v>220352</v>
      </c>
      <c r="U21" s="23">
        <v>0.13710790008713331</v>
      </c>
    </row>
    <row r="22" spans="1:21" x14ac:dyDescent="0.25">
      <c r="A22" s="8" t="s">
        <v>25</v>
      </c>
      <c r="B22" s="8">
        <v>71181</v>
      </c>
      <c r="C22" s="8">
        <v>2647</v>
      </c>
      <c r="D22" s="8">
        <v>21478</v>
      </c>
      <c r="E22" s="8">
        <v>47056</v>
      </c>
      <c r="F22" s="8">
        <v>11688459</v>
      </c>
      <c r="G22" s="8" t="s">
        <v>199</v>
      </c>
      <c r="H22" s="1">
        <v>43900</v>
      </c>
      <c r="I22" s="14">
        <f t="shared" si="0"/>
        <v>3.7186889759907839E-2</v>
      </c>
      <c r="J22" s="14">
        <f t="shared" si="1"/>
        <v>0.30173782329554233</v>
      </c>
      <c r="K22" s="17">
        <f t="shared" si="2"/>
        <v>6.0898532475495704E-3</v>
      </c>
      <c r="L22" s="8" t="str" cm="1">
        <f t="array" ref="L22">_xlfn.IFS(I22&gt;5%,"High Risk",AND(I22&gt;2%,I22&lt;5%),"Modrate Risk",I22&lt;2%, "Low Risk")</f>
        <v>Modrate Risk</v>
      </c>
      <c r="N22" s="20" t="s">
        <v>85</v>
      </c>
      <c r="O22">
        <v>293606</v>
      </c>
      <c r="P22">
        <v>255144</v>
      </c>
      <c r="S22" s="20" t="s">
        <v>209</v>
      </c>
      <c r="T22" s="37"/>
      <c r="U22" s="23"/>
    </row>
    <row r="23" spans="1:21" x14ac:dyDescent="0.25">
      <c r="A23" s="9" t="s">
        <v>26</v>
      </c>
      <c r="B23" s="9">
        <v>10498</v>
      </c>
      <c r="C23" s="9">
        <v>294</v>
      </c>
      <c r="D23" s="9">
        <v>4930</v>
      </c>
      <c r="E23" s="9">
        <v>5274</v>
      </c>
      <c r="F23" s="9">
        <v>3278650</v>
      </c>
      <c r="G23" s="9" t="s">
        <v>196</v>
      </c>
      <c r="H23" s="10">
        <v>43895</v>
      </c>
      <c r="I23" s="15">
        <f t="shared" si="0"/>
        <v>2.8005334349399887E-2</v>
      </c>
      <c r="J23" s="15">
        <f t="shared" si="1"/>
        <v>0.46961325966850831</v>
      </c>
      <c r="K23" s="18">
        <f t="shared" si="2"/>
        <v>3.2019276226495663E-3</v>
      </c>
      <c r="L23" s="9" t="str" cm="1">
        <f t="array" ref="L23">_xlfn.IFS(I23&gt;5%,"High Risk",AND(I23&gt;2%,I23&lt;5%),"Modrate Risk",I23&lt;2%, "Low Risk")</f>
        <v>Modrate Risk</v>
      </c>
      <c r="N23" s="20" t="s">
        <v>115</v>
      </c>
      <c r="O23">
        <v>395489</v>
      </c>
      <c r="P23">
        <v>303810</v>
      </c>
      <c r="S23" s="21" t="s">
        <v>213</v>
      </c>
      <c r="T23" s="37"/>
      <c r="U23" s="23"/>
    </row>
    <row r="24" spans="1:21" x14ac:dyDescent="0.25">
      <c r="A24" s="8" t="s">
        <v>27</v>
      </c>
      <c r="B24" s="8">
        <v>739</v>
      </c>
      <c r="C24" s="8">
        <v>2</v>
      </c>
      <c r="D24" s="8">
        <v>63</v>
      </c>
      <c r="E24" s="8">
        <v>674</v>
      </c>
      <c r="F24" s="8">
        <v>2356075</v>
      </c>
      <c r="G24" s="8" t="s">
        <v>197</v>
      </c>
      <c r="H24" s="1">
        <v>43920</v>
      </c>
      <c r="I24" s="14">
        <f t="shared" si="0"/>
        <v>2.7063599458728013E-3</v>
      </c>
      <c r="J24" s="14">
        <f t="shared" si="1"/>
        <v>8.5250338294993233E-2</v>
      </c>
      <c r="K24" s="17">
        <f t="shared" si="2"/>
        <v>3.1365724775314879E-4</v>
      </c>
      <c r="L24" s="8" t="str" cm="1">
        <f t="array" ref="L24">_xlfn.IFS(I24&gt;5%,"High Risk",AND(I24&gt;2%,I24&lt;5%),"Modrate Risk",I24&lt;2%, "Low Risk")</f>
        <v>Low Risk</v>
      </c>
      <c r="N24" s="20" t="s">
        <v>136</v>
      </c>
      <c r="O24">
        <v>389717</v>
      </c>
      <c r="P24">
        <v>272547</v>
      </c>
      <c r="S24" s="22" t="s">
        <v>215</v>
      </c>
      <c r="T24" s="37">
        <v>8097972</v>
      </c>
      <c r="U24" s="23">
        <v>0.81223361450163878</v>
      </c>
    </row>
    <row r="25" spans="1:21" x14ac:dyDescent="0.25">
      <c r="A25" s="9" t="s">
        <v>28</v>
      </c>
      <c r="B25" s="9">
        <v>2442375</v>
      </c>
      <c r="C25" s="9">
        <v>87618</v>
      </c>
      <c r="D25" s="9">
        <v>1846641</v>
      </c>
      <c r="E25" s="9">
        <v>508116</v>
      </c>
      <c r="F25" s="9">
        <v>212710692</v>
      </c>
      <c r="G25" s="9" t="s">
        <v>199</v>
      </c>
      <c r="H25" s="10">
        <v>43887</v>
      </c>
      <c r="I25" s="15">
        <f t="shared" si="0"/>
        <v>3.5874097957930291E-2</v>
      </c>
      <c r="J25" s="15">
        <f t="shared" si="1"/>
        <v>0.75608413941348074</v>
      </c>
      <c r="K25" s="18">
        <f t="shared" si="2"/>
        <v>1.1482144959596107E-2</v>
      </c>
      <c r="L25" s="9" t="str" cm="1">
        <f t="array" ref="L25">_xlfn.IFS(I25&gt;5%,"High Risk",AND(I25&gt;2%,I25&lt;5%),"Modrate Risk",I25&lt;2%, "Low Risk")</f>
        <v>Modrate Risk</v>
      </c>
      <c r="N25" s="20" t="s">
        <v>142</v>
      </c>
      <c r="O25">
        <v>816680</v>
      </c>
      <c r="P25">
        <v>602249</v>
      </c>
      <c r="S25" s="22" t="s">
        <v>216</v>
      </c>
      <c r="T25" s="37">
        <v>4565502</v>
      </c>
      <c r="U25" s="23">
        <v>1.4673048821979009</v>
      </c>
    </row>
    <row r="26" spans="1:21" x14ac:dyDescent="0.25">
      <c r="A26" s="8" t="s">
        <v>29</v>
      </c>
      <c r="B26" s="8">
        <v>141</v>
      </c>
      <c r="C26" s="8">
        <v>3</v>
      </c>
      <c r="D26" s="8">
        <v>138</v>
      </c>
      <c r="E26" s="8">
        <v>0</v>
      </c>
      <c r="F26" s="8">
        <v>437893</v>
      </c>
      <c r="G26" s="8" t="s">
        <v>195</v>
      </c>
      <c r="H26" s="1">
        <v>43899</v>
      </c>
      <c r="I26" s="14">
        <f t="shared" si="0"/>
        <v>2.1276595744680851E-2</v>
      </c>
      <c r="J26" s="14">
        <f t="shared" si="1"/>
        <v>0.97872340425531912</v>
      </c>
      <c r="K26" s="17">
        <f t="shared" si="2"/>
        <v>3.2199646945715047E-4</v>
      </c>
      <c r="L26" s="8" t="str" cm="1">
        <f t="array" ref="L26">_xlfn.IFS(I26&gt;5%,"High Risk",AND(I26&gt;2%,I26&lt;5%),"Modrate Risk",I26&lt;2%, "Low Risk")</f>
        <v>Modrate Risk</v>
      </c>
      <c r="N26" s="20" t="s">
        <v>158</v>
      </c>
      <c r="O26">
        <v>452529</v>
      </c>
      <c r="P26">
        <v>274925</v>
      </c>
      <c r="S26" s="22" t="s">
        <v>217</v>
      </c>
      <c r="T26" s="37">
        <v>3493247</v>
      </c>
      <c r="U26" s="23">
        <v>2.6752047934913397</v>
      </c>
    </row>
    <row r="27" spans="1:21" x14ac:dyDescent="0.25">
      <c r="A27" s="9" t="s">
        <v>30</v>
      </c>
      <c r="B27" s="9">
        <v>10621</v>
      </c>
      <c r="C27" s="9">
        <v>347</v>
      </c>
      <c r="D27" s="9">
        <v>5585</v>
      </c>
      <c r="E27" s="9">
        <v>4689</v>
      </c>
      <c r="F27" s="9">
        <v>6942854</v>
      </c>
      <c r="G27" s="9" t="s">
        <v>196</v>
      </c>
      <c r="H27" s="10">
        <v>43898</v>
      </c>
      <c r="I27" s="15">
        <f t="shared" si="0"/>
        <v>3.2671123246398641E-2</v>
      </c>
      <c r="J27" s="15">
        <f t="shared" si="1"/>
        <v>0.52584502400903865</v>
      </c>
      <c r="K27" s="18">
        <f t="shared" si="2"/>
        <v>1.5297743550418891E-3</v>
      </c>
      <c r="L27" s="9" t="str" cm="1">
        <f t="array" ref="L27">_xlfn.IFS(I27&gt;5%,"High Risk",AND(I27&gt;2%,I27&lt;5%),"Modrate Risk",I27&lt;2%, "Low Risk")</f>
        <v>Modrate Risk</v>
      </c>
      <c r="N27" s="20" t="s">
        <v>180</v>
      </c>
      <c r="O27">
        <v>301708</v>
      </c>
      <c r="P27">
        <v>1437</v>
      </c>
      <c r="S27" s="21" t="s">
        <v>214</v>
      </c>
      <c r="T27" s="37"/>
      <c r="U27" s="23"/>
    </row>
    <row r="28" spans="1:21" x14ac:dyDescent="0.25">
      <c r="A28" s="8" t="s">
        <v>31</v>
      </c>
      <c r="B28" s="8">
        <v>1100</v>
      </c>
      <c r="C28" s="8">
        <v>53</v>
      </c>
      <c r="D28" s="8">
        <v>926</v>
      </c>
      <c r="E28" s="8">
        <v>121</v>
      </c>
      <c r="F28" s="8">
        <v>20954852</v>
      </c>
      <c r="G28" s="8" t="s">
        <v>197</v>
      </c>
      <c r="H28" s="1">
        <v>43899</v>
      </c>
      <c r="I28" s="14">
        <f t="shared" si="0"/>
        <v>4.818181818181818E-2</v>
      </c>
      <c r="J28" s="14">
        <f t="shared" si="1"/>
        <v>0.8418181818181818</v>
      </c>
      <c r="K28" s="17">
        <f t="shared" si="2"/>
        <v>5.2493809071044739E-5</v>
      </c>
      <c r="L28" s="8" t="str" cm="1">
        <f t="array" ref="L28">_xlfn.IFS(I28&gt;5%,"High Risk",AND(I28&gt;2%,I28&lt;5%),"Modrate Risk",I28&lt;2%, "Low Risk")</f>
        <v>Modrate Risk</v>
      </c>
      <c r="N28" s="20" t="s">
        <v>176</v>
      </c>
      <c r="O28">
        <v>4290259</v>
      </c>
      <c r="P28">
        <v>1325804</v>
      </c>
      <c r="S28" s="22" t="s">
        <v>218</v>
      </c>
      <c r="T28" s="37">
        <v>16124</v>
      </c>
      <c r="U28" s="23">
        <v>0.47685807399545022</v>
      </c>
    </row>
    <row r="29" spans="1:21" x14ac:dyDescent="0.25">
      <c r="A29" s="9" t="s">
        <v>191</v>
      </c>
      <c r="B29" s="9">
        <v>350</v>
      </c>
      <c r="C29" s="9">
        <v>6</v>
      </c>
      <c r="D29" s="9">
        <v>292</v>
      </c>
      <c r="E29" s="9">
        <v>52</v>
      </c>
      <c r="F29" s="9">
        <v>54446389</v>
      </c>
      <c r="G29" s="9" t="s">
        <v>195</v>
      </c>
      <c r="H29" s="10">
        <v>43913</v>
      </c>
      <c r="I29" s="15">
        <f t="shared" si="0"/>
        <v>1.7142857142857144E-2</v>
      </c>
      <c r="J29" s="15">
        <f t="shared" si="1"/>
        <v>0.8342857142857143</v>
      </c>
      <c r="K29" s="18">
        <f t="shared" si="2"/>
        <v>6.4283418318155129E-6</v>
      </c>
      <c r="L29" s="9" t="str" cm="1">
        <f t="array" ref="L29">_xlfn.IFS(I29&gt;5%,"High Risk",AND(I29&gt;2%,I29&lt;5%),"Modrate Risk",I29&lt;2%, "Low Risk")</f>
        <v>Low Risk</v>
      </c>
      <c r="N29" s="20" t="s">
        <v>206</v>
      </c>
      <c r="O29">
        <v>11210359</v>
      </c>
      <c r="P29">
        <v>6153677</v>
      </c>
      <c r="S29" s="22" t="s">
        <v>219</v>
      </c>
      <c r="T29" s="37">
        <v>505</v>
      </c>
      <c r="U29" s="23">
        <v>2.3762376237623763E-2</v>
      </c>
    </row>
    <row r="30" spans="1:21" x14ac:dyDescent="0.25">
      <c r="A30" s="8" t="s">
        <v>32</v>
      </c>
      <c r="B30" s="8">
        <v>378</v>
      </c>
      <c r="C30" s="8">
        <v>1</v>
      </c>
      <c r="D30" s="8">
        <v>301</v>
      </c>
      <c r="E30" s="8">
        <v>76</v>
      </c>
      <c r="F30" s="8">
        <v>11922216</v>
      </c>
      <c r="G30" s="8" t="s">
        <v>197</v>
      </c>
      <c r="H30" s="1">
        <v>43921</v>
      </c>
      <c r="I30" s="14">
        <f t="shared" si="0"/>
        <v>2.6455026455026454E-3</v>
      </c>
      <c r="J30" s="14">
        <f t="shared" si="1"/>
        <v>0.79629629629629628</v>
      </c>
      <c r="K30" s="17">
        <f t="shared" si="2"/>
        <v>3.1705515149197092E-5</v>
      </c>
      <c r="L30" s="8" t="str" cm="1">
        <f t="array" ref="L30">_xlfn.IFS(I30&gt;5%,"High Risk",AND(I30&gt;2%,I30&lt;5%),"Modrate Risk",I30&lt;2%, "Low Risk")</f>
        <v>Low Risk</v>
      </c>
      <c r="S30" s="20" t="s">
        <v>206</v>
      </c>
      <c r="T30" s="37">
        <v>16480485</v>
      </c>
      <c r="U30" s="23">
        <v>5.646122701202696</v>
      </c>
    </row>
    <row r="31" spans="1:21" x14ac:dyDescent="0.25">
      <c r="A31" s="9" t="s">
        <v>33</v>
      </c>
      <c r="B31" s="9">
        <v>2328</v>
      </c>
      <c r="C31" s="9">
        <v>22</v>
      </c>
      <c r="D31" s="9">
        <v>1550</v>
      </c>
      <c r="E31" s="9">
        <v>756</v>
      </c>
      <c r="F31" s="9">
        <v>556581</v>
      </c>
      <c r="G31" s="9" t="s">
        <v>197</v>
      </c>
      <c r="H31" s="10">
        <v>43910</v>
      </c>
      <c r="I31" s="15">
        <f t="shared" si="0"/>
        <v>9.4501718213058413E-3</v>
      </c>
      <c r="J31" s="15">
        <f t="shared" si="1"/>
        <v>0.66580756013745701</v>
      </c>
      <c r="K31" s="18">
        <f t="shared" si="2"/>
        <v>4.1826796099759065E-3</v>
      </c>
      <c r="L31" s="9" t="str" cm="1">
        <f t="array" ref="L31">_xlfn.IFS(I31&gt;5%,"High Risk",AND(I31&gt;2%,I31&lt;5%),"Modrate Risk",I31&lt;2%, "Low Risk")</f>
        <v>Low Risk</v>
      </c>
    </row>
    <row r="32" spans="1:21" x14ac:dyDescent="0.25">
      <c r="A32" s="8" t="s">
        <v>34</v>
      </c>
      <c r="B32" s="8">
        <v>226</v>
      </c>
      <c r="C32" s="8">
        <v>0</v>
      </c>
      <c r="D32" s="8">
        <v>147</v>
      </c>
      <c r="E32" s="8">
        <v>79</v>
      </c>
      <c r="F32" s="8">
        <v>16741375</v>
      </c>
      <c r="G32" s="8" t="s">
        <v>195</v>
      </c>
      <c r="H32" s="1">
        <v>43857</v>
      </c>
      <c r="I32" s="14">
        <f t="shared" si="0"/>
        <v>0</v>
      </c>
      <c r="J32" s="14">
        <f t="shared" si="1"/>
        <v>0.65044247787610621</v>
      </c>
      <c r="K32" s="17">
        <f t="shared" si="2"/>
        <v>1.349948854260776E-5</v>
      </c>
      <c r="L32" s="8" t="str" cm="1">
        <f t="array" ref="L32">_xlfn.IFS(I32&gt;5%,"High Risk",AND(I32&gt;2%,I32&lt;5%),"Modrate Risk",I32&lt;2%, "Low Risk")</f>
        <v>Low Risk</v>
      </c>
    </row>
    <row r="33" spans="1:12" x14ac:dyDescent="0.25">
      <c r="A33" s="9" t="s">
        <v>35</v>
      </c>
      <c r="B33" s="9">
        <v>17110</v>
      </c>
      <c r="C33" s="9">
        <v>391</v>
      </c>
      <c r="D33" s="9">
        <v>14539</v>
      </c>
      <c r="E33" s="9">
        <v>2180</v>
      </c>
      <c r="F33" s="9">
        <v>26606188</v>
      </c>
      <c r="G33" s="9" t="s">
        <v>197</v>
      </c>
      <c r="H33" s="10">
        <v>43896</v>
      </c>
      <c r="I33" s="15">
        <f t="shared" si="0"/>
        <v>2.2852133255406196E-2</v>
      </c>
      <c r="J33" s="15">
        <f t="shared" si="1"/>
        <v>0.84973699590882523</v>
      </c>
      <c r="K33" s="18">
        <f t="shared" si="2"/>
        <v>6.4308348118114476E-4</v>
      </c>
      <c r="L33" s="9" t="str" cm="1">
        <f t="array" ref="L33">_xlfn.IFS(I33&gt;5%,"High Risk",AND(I33&gt;2%,I33&lt;5%),"Modrate Risk",I33&lt;2%, "Low Risk")</f>
        <v>Modrate Risk</v>
      </c>
    </row>
    <row r="34" spans="1:12" x14ac:dyDescent="0.25">
      <c r="A34" s="8" t="s">
        <v>36</v>
      </c>
      <c r="B34" s="8">
        <v>116458</v>
      </c>
      <c r="C34" s="8">
        <v>8944</v>
      </c>
      <c r="D34" s="8">
        <v>0</v>
      </c>
      <c r="E34" s="8">
        <v>107514</v>
      </c>
      <c r="F34" s="8">
        <v>37775022</v>
      </c>
      <c r="G34" s="8" t="s">
        <v>198</v>
      </c>
      <c r="H34" s="1">
        <v>43855</v>
      </c>
      <c r="I34" s="14">
        <f t="shared" si="0"/>
        <v>7.6800219821738305E-2</v>
      </c>
      <c r="J34" s="14">
        <f t="shared" si="1"/>
        <v>0</v>
      </c>
      <c r="K34" s="17">
        <f t="shared" si="2"/>
        <v>3.0829366558674672E-3</v>
      </c>
      <c r="L34" s="8" t="str" cm="1">
        <f t="array" ref="L34">_xlfn.IFS(I34&gt;5%,"High Risk",AND(I34&gt;2%,I34&lt;5%),"Modrate Risk",I34&lt;2%, "Low Risk")</f>
        <v>High Risk</v>
      </c>
    </row>
    <row r="35" spans="1:12" x14ac:dyDescent="0.25">
      <c r="A35" s="9" t="s">
        <v>37</v>
      </c>
      <c r="B35" s="9">
        <v>4599</v>
      </c>
      <c r="C35" s="9">
        <v>59</v>
      </c>
      <c r="D35" s="9">
        <v>1546</v>
      </c>
      <c r="E35" s="9">
        <v>2994</v>
      </c>
      <c r="F35" s="9">
        <v>4837752</v>
      </c>
      <c r="G35" s="9" t="s">
        <v>197</v>
      </c>
      <c r="H35" s="10">
        <v>43904</v>
      </c>
      <c r="I35" s="15">
        <f t="shared" si="0"/>
        <v>1.2828875842574472E-2</v>
      </c>
      <c r="J35" s="15">
        <f t="shared" si="1"/>
        <v>0.33616003479017176</v>
      </c>
      <c r="K35" s="18">
        <f t="shared" si="2"/>
        <v>9.5064815228229974E-4</v>
      </c>
      <c r="L35" s="9" t="str" cm="1">
        <f t="array" ref="L35">_xlfn.IFS(I35&gt;5%,"High Risk",AND(I35&gt;2%,I35&lt;5%),"Modrate Risk",I35&lt;2%, "Low Risk")</f>
        <v>Low Risk</v>
      </c>
    </row>
    <row r="36" spans="1:12" x14ac:dyDescent="0.25">
      <c r="A36" s="8" t="s">
        <v>38</v>
      </c>
      <c r="B36" s="8">
        <v>922</v>
      </c>
      <c r="C36" s="8">
        <v>75</v>
      </c>
      <c r="D36" s="8">
        <v>810</v>
      </c>
      <c r="E36" s="8">
        <v>37</v>
      </c>
      <c r="F36" s="11">
        <v>17224679</v>
      </c>
      <c r="G36" s="8" t="s">
        <v>197</v>
      </c>
      <c r="H36" s="1">
        <v>43909</v>
      </c>
      <c r="I36" s="14">
        <f t="shared" si="0"/>
        <v>8.1344902386117135E-2</v>
      </c>
      <c r="J36" s="14">
        <f t="shared" si="1"/>
        <v>0.87852494577006512</v>
      </c>
      <c r="K36" s="17">
        <f t="shared" si="2"/>
        <v>5.3527848037110008E-5</v>
      </c>
      <c r="L36" s="8" t="str" cm="1">
        <f t="array" ref="L36">_xlfn.IFS(I36&gt;5%,"High Risk",AND(I36&gt;2%,I36&lt;5%),"Modrate Risk",I36&lt;2%, "Low Risk")</f>
        <v>High Risk</v>
      </c>
    </row>
    <row r="37" spans="1:12" x14ac:dyDescent="0.25">
      <c r="A37" s="9" t="s">
        <v>39</v>
      </c>
      <c r="B37" s="9">
        <v>347923</v>
      </c>
      <c r="C37" s="9">
        <v>9187</v>
      </c>
      <c r="D37" s="9">
        <v>319954</v>
      </c>
      <c r="E37" s="9">
        <v>18782</v>
      </c>
      <c r="F37" s="9">
        <v>19132514</v>
      </c>
      <c r="G37" s="9" t="s">
        <v>199</v>
      </c>
      <c r="H37" s="10">
        <v>43893</v>
      </c>
      <c r="I37" s="15">
        <f t="shared" si="0"/>
        <v>2.6405267832250241E-2</v>
      </c>
      <c r="J37" s="15">
        <f t="shared" si="1"/>
        <v>0.91961152323933748</v>
      </c>
      <c r="K37" s="18">
        <f t="shared" si="2"/>
        <v>1.8184907639424697E-2</v>
      </c>
      <c r="L37" s="9" t="str" cm="1">
        <f t="array" ref="L37">_xlfn.IFS(I37&gt;5%,"High Risk",AND(I37&gt;2%,I37&lt;5%),"Modrate Risk",I37&lt;2%, "Low Risk")</f>
        <v>Modrate Risk</v>
      </c>
    </row>
    <row r="38" spans="1:12" x14ac:dyDescent="0.25">
      <c r="A38" s="8" t="s">
        <v>40</v>
      </c>
      <c r="B38" s="8">
        <v>86783</v>
      </c>
      <c r="C38" s="8">
        <v>4656</v>
      </c>
      <c r="D38" s="8">
        <v>78869</v>
      </c>
      <c r="E38" s="8">
        <v>3258</v>
      </c>
      <c r="F38" s="11">
        <v>1411778724</v>
      </c>
      <c r="G38" s="8" t="s">
        <v>197</v>
      </c>
      <c r="H38" s="1">
        <v>43786</v>
      </c>
      <c r="I38" s="14">
        <f t="shared" si="0"/>
        <v>5.365106069161011E-2</v>
      </c>
      <c r="J38" s="14">
        <f t="shared" si="1"/>
        <v>0.90880702441722461</v>
      </c>
      <c r="K38" s="17">
        <f t="shared" si="2"/>
        <v>6.1470681293536756E-5</v>
      </c>
      <c r="L38" s="8" t="str" cm="1">
        <f t="array" ref="L38">_xlfn.IFS(I38&gt;5%,"High Risk",AND(I38&gt;2%,I38&lt;5%),"Modrate Risk",I38&lt;2%, "Low Risk")</f>
        <v>High Risk</v>
      </c>
    </row>
    <row r="39" spans="1:12" x14ac:dyDescent="0.25">
      <c r="A39" s="9" t="s">
        <v>41</v>
      </c>
      <c r="B39" s="9">
        <v>257101</v>
      </c>
      <c r="C39" s="9">
        <v>8777</v>
      </c>
      <c r="D39" s="9">
        <v>131161</v>
      </c>
      <c r="E39" s="9">
        <v>117163</v>
      </c>
      <c r="F39" s="9">
        <v>50936262</v>
      </c>
      <c r="G39" s="9" t="s">
        <v>199</v>
      </c>
      <c r="H39" s="10">
        <v>43896</v>
      </c>
      <c r="I39" s="15">
        <f t="shared" si="0"/>
        <v>3.4138334740043796E-2</v>
      </c>
      <c r="J39" s="15">
        <f t="shared" si="1"/>
        <v>0.51015359722443709</v>
      </c>
      <c r="K39" s="18">
        <f t="shared" si="2"/>
        <v>5.0475042711222119E-3</v>
      </c>
      <c r="L39" s="9" t="str" cm="1">
        <f t="array" ref="L39">_xlfn.IFS(I39&gt;5%,"High Risk",AND(I39&gt;2%,I39&lt;5%),"Modrate Risk",I39&lt;2%, "Low Risk")</f>
        <v>Modrate Risk</v>
      </c>
    </row>
    <row r="40" spans="1:12" x14ac:dyDescent="0.25">
      <c r="A40" s="8" t="s">
        <v>42</v>
      </c>
      <c r="B40" s="8">
        <v>354</v>
      </c>
      <c r="C40" s="8">
        <v>7</v>
      </c>
      <c r="D40" s="8">
        <v>328</v>
      </c>
      <c r="E40" s="8">
        <v>19</v>
      </c>
      <c r="F40" s="8">
        <v>871326</v>
      </c>
      <c r="G40" s="8" t="s">
        <v>197</v>
      </c>
      <c r="H40" s="1">
        <v>43951</v>
      </c>
      <c r="I40" s="14">
        <f t="shared" si="0"/>
        <v>1.977401129943503E-2</v>
      </c>
      <c r="J40" s="14">
        <f t="shared" si="1"/>
        <v>0.92655367231638419</v>
      </c>
      <c r="K40" s="17">
        <f t="shared" si="2"/>
        <v>4.0627732903643414E-4</v>
      </c>
      <c r="L40" s="8" t="str" cm="1">
        <f t="array" ref="L40">_xlfn.IFS(I40&gt;5%,"High Risk",AND(I40&gt;2%,I40&lt;5%),"Modrate Risk",I40&lt;2%, "Low Risk")</f>
        <v>Low Risk</v>
      </c>
    </row>
    <row r="41" spans="1:12" x14ac:dyDescent="0.25">
      <c r="A41" s="9" t="s">
        <v>43</v>
      </c>
      <c r="B41" s="9">
        <v>3200</v>
      </c>
      <c r="C41" s="9">
        <v>54</v>
      </c>
      <c r="D41" s="9">
        <v>829</v>
      </c>
      <c r="E41" s="9">
        <v>2317</v>
      </c>
      <c r="F41" s="9">
        <v>5530506</v>
      </c>
      <c r="G41" s="9" t="s">
        <v>197</v>
      </c>
      <c r="H41" s="10">
        <v>43904</v>
      </c>
      <c r="I41" s="15">
        <f t="shared" si="0"/>
        <v>1.6875000000000001E-2</v>
      </c>
      <c r="J41" s="15">
        <f t="shared" si="1"/>
        <v>0.25906249999999997</v>
      </c>
      <c r="K41" s="18">
        <f t="shared" si="2"/>
        <v>5.7860890124701071E-4</v>
      </c>
      <c r="L41" s="9" t="str" cm="1">
        <f t="array" ref="L41">_xlfn.IFS(I41&gt;5%,"High Risk",AND(I41&gt;2%,I41&lt;5%),"Modrate Risk",I41&lt;2%, "Low Risk")</f>
        <v>Low Risk</v>
      </c>
    </row>
    <row r="42" spans="1:12" x14ac:dyDescent="0.25">
      <c r="A42" s="8" t="s">
        <v>44</v>
      </c>
      <c r="B42" s="8">
        <v>8844</v>
      </c>
      <c r="C42" s="8">
        <v>208</v>
      </c>
      <c r="D42" s="8">
        <v>5700</v>
      </c>
      <c r="E42" s="8">
        <v>2936</v>
      </c>
      <c r="F42" s="11">
        <v>96076573</v>
      </c>
      <c r="G42" s="8" t="s">
        <v>197</v>
      </c>
      <c r="H42" s="1">
        <v>43900</v>
      </c>
      <c r="I42" s="14">
        <f t="shared" si="0"/>
        <v>2.3518769787426504E-2</v>
      </c>
      <c r="J42" s="14">
        <f t="shared" si="1"/>
        <v>0.64450474898236088</v>
      </c>
      <c r="K42" s="17">
        <f t="shared" si="2"/>
        <v>9.2051576402501362E-5</v>
      </c>
      <c r="L42" s="8" t="str" cm="1">
        <f t="array" ref="L42">_xlfn.IFS(I42&gt;5%,"High Risk",AND(I42&gt;2%,I42&lt;5%),"Modrate Risk",I42&lt;2%, "Low Risk")</f>
        <v>Modrate Risk</v>
      </c>
    </row>
    <row r="43" spans="1:12" x14ac:dyDescent="0.25">
      <c r="A43" s="9" t="s">
        <v>45</v>
      </c>
      <c r="B43" s="9">
        <v>15841</v>
      </c>
      <c r="C43" s="9">
        <v>115</v>
      </c>
      <c r="D43" s="9">
        <v>3824</v>
      </c>
      <c r="E43" s="9">
        <v>11902</v>
      </c>
      <c r="F43" s="9">
        <v>5098730</v>
      </c>
      <c r="G43" s="9" t="s">
        <v>198</v>
      </c>
      <c r="H43" s="10">
        <v>43896</v>
      </c>
      <c r="I43" s="15">
        <f t="shared" si="0"/>
        <v>7.2596426993245377E-3</v>
      </c>
      <c r="J43" s="15">
        <f t="shared" si="1"/>
        <v>0.24139890158449592</v>
      </c>
      <c r="K43" s="18">
        <f t="shared" si="2"/>
        <v>3.1068520984637352E-3</v>
      </c>
      <c r="L43" s="9" t="str" cm="1">
        <f t="array" ref="L43">_xlfn.IFS(I43&gt;5%,"High Risk",AND(I43&gt;2%,I43&lt;5%),"Modrate Risk",I43&lt;2%, "Low Risk")</f>
        <v>Low Risk</v>
      </c>
    </row>
    <row r="44" spans="1:12" x14ac:dyDescent="0.25">
      <c r="A44" s="8" t="s">
        <v>46</v>
      </c>
      <c r="B44" s="8">
        <v>15655</v>
      </c>
      <c r="C44" s="8">
        <v>96</v>
      </c>
      <c r="D44" s="8">
        <v>10361</v>
      </c>
      <c r="E44" s="8">
        <v>5198</v>
      </c>
      <c r="F44" s="11">
        <v>26172000</v>
      </c>
      <c r="G44" s="8" t="s">
        <v>197</v>
      </c>
      <c r="H44" s="1">
        <v>43901</v>
      </c>
      <c r="I44" s="14">
        <f t="shared" si="0"/>
        <v>6.1322261258383902E-3</v>
      </c>
      <c r="J44" s="14">
        <f t="shared" si="1"/>
        <v>0.66183328010220377</v>
      </c>
      <c r="K44" s="17">
        <f t="shared" si="2"/>
        <v>5.9815833715421058E-4</v>
      </c>
      <c r="L44" s="8" t="str" cm="1">
        <f t="array" ref="L44">_xlfn.IFS(I44&gt;5%,"High Risk",AND(I44&gt;2%,I44&lt;5%),"Modrate Risk",I44&lt;2%, "Low Risk")</f>
        <v>Low Risk</v>
      </c>
    </row>
    <row r="45" spans="1:12" x14ac:dyDescent="0.25">
      <c r="A45" s="9" t="s">
        <v>47</v>
      </c>
      <c r="B45" s="9">
        <v>4881</v>
      </c>
      <c r="C45" s="9">
        <v>139</v>
      </c>
      <c r="D45" s="9">
        <v>3936</v>
      </c>
      <c r="E45" s="9">
        <v>806</v>
      </c>
      <c r="F45" s="9">
        <v>4102577</v>
      </c>
      <c r="G45" s="9" t="s">
        <v>196</v>
      </c>
      <c r="H45" s="10">
        <v>43886</v>
      </c>
      <c r="I45" s="15">
        <f t="shared" si="0"/>
        <v>2.8477770948576113E-2</v>
      </c>
      <c r="J45" s="15">
        <f t="shared" si="1"/>
        <v>0.80639213275968036</v>
      </c>
      <c r="K45" s="18">
        <f t="shared" si="2"/>
        <v>1.1897400097548444E-3</v>
      </c>
      <c r="L45" s="9" t="str" cm="1">
        <f t="array" ref="L45">_xlfn.IFS(I45&gt;5%,"High Risk",AND(I45&gt;2%,I45&lt;5%),"Modrate Risk",I45&lt;2%, "Low Risk")</f>
        <v>Modrate Risk</v>
      </c>
    </row>
    <row r="46" spans="1:12" x14ac:dyDescent="0.25">
      <c r="A46" s="8" t="s">
        <v>48</v>
      </c>
      <c r="B46" s="8">
        <v>2532</v>
      </c>
      <c r="C46" s="8">
        <v>87</v>
      </c>
      <c r="D46" s="8">
        <v>2351</v>
      </c>
      <c r="E46" s="8">
        <v>94</v>
      </c>
      <c r="F46" s="8">
        <v>11325899</v>
      </c>
      <c r="G46" s="8" t="s">
        <v>198</v>
      </c>
      <c r="H46" s="1">
        <v>43901</v>
      </c>
      <c r="I46" s="14">
        <f t="shared" si="0"/>
        <v>3.4360189573459717E-2</v>
      </c>
      <c r="J46" s="14">
        <f t="shared" si="1"/>
        <v>0.92851500789889418</v>
      </c>
      <c r="K46" s="17">
        <f t="shared" si="2"/>
        <v>2.2355841244920161E-4</v>
      </c>
      <c r="L46" s="8" t="str" cm="1">
        <f t="array" ref="L46">_xlfn.IFS(I46&gt;5%,"High Risk",AND(I46&gt;2%,I46&lt;5%),"Modrate Risk",I46&lt;2%, "Low Risk")</f>
        <v>Modrate Risk</v>
      </c>
    </row>
    <row r="47" spans="1:12" x14ac:dyDescent="0.25">
      <c r="A47" s="9" t="s">
        <v>49</v>
      </c>
      <c r="B47" s="9">
        <v>1060</v>
      </c>
      <c r="C47" s="9">
        <v>19</v>
      </c>
      <c r="D47" s="9">
        <v>852</v>
      </c>
      <c r="E47" s="9">
        <v>189</v>
      </c>
      <c r="F47" s="9">
        <v>1208238</v>
      </c>
      <c r="G47" s="9" t="s">
        <v>195</v>
      </c>
      <c r="H47" s="10">
        <v>43899</v>
      </c>
      <c r="I47" s="15">
        <f t="shared" si="0"/>
        <v>1.7924528301886792E-2</v>
      </c>
      <c r="J47" s="15">
        <f t="shared" si="1"/>
        <v>0.80377358490566042</v>
      </c>
      <c r="K47" s="18">
        <f t="shared" si="2"/>
        <v>8.7731059609116749E-4</v>
      </c>
      <c r="L47" s="9" t="str" cm="1">
        <f t="array" ref="L47">_xlfn.IFS(I47&gt;5%,"High Risk",AND(I47&gt;2%,I47&lt;5%),"Modrate Risk",I47&lt;2%, "Low Risk")</f>
        <v>Low Risk</v>
      </c>
    </row>
    <row r="48" spans="1:12" x14ac:dyDescent="0.25">
      <c r="A48" s="8" t="s">
        <v>50</v>
      </c>
      <c r="B48" s="8">
        <v>15516</v>
      </c>
      <c r="C48" s="8">
        <v>373</v>
      </c>
      <c r="D48" s="8">
        <v>11428</v>
      </c>
      <c r="E48" s="8">
        <v>3715</v>
      </c>
      <c r="F48" s="8">
        <v>10711019</v>
      </c>
      <c r="G48" s="8" t="s">
        <v>196</v>
      </c>
      <c r="H48" s="1">
        <v>43891</v>
      </c>
      <c r="I48" s="14">
        <f t="shared" si="0"/>
        <v>2.4039700953854087E-2</v>
      </c>
      <c r="J48" s="14">
        <f t="shared" si="1"/>
        <v>0.7365300335137922</v>
      </c>
      <c r="K48" s="17">
        <f t="shared" si="2"/>
        <v>1.4486016689915311E-3</v>
      </c>
      <c r="L48" s="8" t="str" cm="1">
        <f t="array" ref="L48">_xlfn.IFS(I48&gt;5%,"High Risk",AND(I48&gt;2%,I48&lt;5%),"Modrate Risk",I48&lt;2%, "Low Risk")</f>
        <v>Modrate Risk</v>
      </c>
    </row>
    <row r="49" spans="1:12" x14ac:dyDescent="0.25">
      <c r="A49" s="9" t="s">
        <v>51</v>
      </c>
      <c r="B49" s="9">
        <v>13761</v>
      </c>
      <c r="C49" s="9">
        <v>613</v>
      </c>
      <c r="D49" s="9">
        <v>12605</v>
      </c>
      <c r="E49" s="9">
        <v>543</v>
      </c>
      <c r="F49" s="9">
        <v>5794279</v>
      </c>
      <c r="G49" s="9" t="s">
        <v>196</v>
      </c>
      <c r="H49" s="10">
        <v>43888</v>
      </c>
      <c r="I49" s="15">
        <f t="shared" si="0"/>
        <v>4.454618123682872E-2</v>
      </c>
      <c r="J49" s="15">
        <f t="shared" si="1"/>
        <v>0.91599447714555626</v>
      </c>
      <c r="K49" s="18">
        <f t="shared" si="2"/>
        <v>2.3749287875160997E-3</v>
      </c>
      <c r="L49" s="9" t="str" cm="1">
        <f t="array" ref="L49">_xlfn.IFS(I49&gt;5%,"High Risk",AND(I49&gt;2%,I49&lt;5%),"Modrate Risk",I49&lt;2%, "Low Risk")</f>
        <v>Modrate Risk</v>
      </c>
    </row>
    <row r="50" spans="1:12" x14ac:dyDescent="0.25">
      <c r="A50" s="8" t="s">
        <v>52</v>
      </c>
      <c r="B50" s="8">
        <v>5059</v>
      </c>
      <c r="C50" s="8">
        <v>58</v>
      </c>
      <c r="D50" s="8">
        <v>4977</v>
      </c>
      <c r="E50" s="8">
        <v>24</v>
      </c>
      <c r="F50" s="8">
        <v>989387</v>
      </c>
      <c r="G50" s="8" t="s">
        <v>197</v>
      </c>
      <c r="H50" s="1">
        <v>43908</v>
      </c>
      <c r="I50" s="14">
        <f t="shared" si="0"/>
        <v>1.1464716347104172E-2</v>
      </c>
      <c r="J50" s="14">
        <f t="shared" si="1"/>
        <v>0.98379126309547338</v>
      </c>
      <c r="K50" s="17">
        <f t="shared" si="2"/>
        <v>5.1132671037723357E-3</v>
      </c>
      <c r="L50" s="8" t="str" cm="1">
        <f t="array" ref="L50">_xlfn.IFS(I50&gt;5%,"High Risk",AND(I50&gt;2%,I50&lt;5%),"Modrate Risk",I50&lt;2%, "Low Risk")</f>
        <v>Low Risk</v>
      </c>
    </row>
    <row r="51" spans="1:12" x14ac:dyDescent="0.25">
      <c r="A51" s="9" t="s">
        <v>53</v>
      </c>
      <c r="B51" s="9">
        <v>18</v>
      </c>
      <c r="C51" s="9">
        <v>0</v>
      </c>
      <c r="D51" s="9">
        <v>18</v>
      </c>
      <c r="E51" s="9">
        <v>0</v>
      </c>
      <c r="F51" s="9">
        <v>72004</v>
      </c>
      <c r="G51" s="9" t="s">
        <v>198</v>
      </c>
      <c r="H51" s="10">
        <v>43912</v>
      </c>
      <c r="I51" s="15">
        <f t="shared" si="0"/>
        <v>0</v>
      </c>
      <c r="J51" s="15">
        <f t="shared" si="1"/>
        <v>1</v>
      </c>
      <c r="K51" s="18">
        <f t="shared" si="2"/>
        <v>2.4998611188267316E-4</v>
      </c>
      <c r="L51" s="9" t="str" cm="1">
        <f t="array" ref="L51">_xlfn.IFS(I51&gt;5%,"High Risk",AND(I51&gt;2%,I51&lt;5%),"Modrate Risk",I51&lt;2%, "Low Risk")</f>
        <v>Low Risk</v>
      </c>
    </row>
    <row r="52" spans="1:12" x14ac:dyDescent="0.25">
      <c r="A52" s="8" t="s">
        <v>54</v>
      </c>
      <c r="B52" s="8">
        <v>64156</v>
      </c>
      <c r="C52" s="8">
        <v>1083</v>
      </c>
      <c r="D52" s="8">
        <v>30204</v>
      </c>
      <c r="E52" s="8">
        <v>32869</v>
      </c>
      <c r="F52" s="8">
        <v>10858648</v>
      </c>
      <c r="G52" s="8" t="s">
        <v>198</v>
      </c>
      <c r="H52" s="1">
        <v>43891</v>
      </c>
      <c r="I52" s="14">
        <f t="shared" si="0"/>
        <v>1.688072822495168E-2</v>
      </c>
      <c r="J52" s="14">
        <f t="shared" si="1"/>
        <v>0.47078994949809838</v>
      </c>
      <c r="K52" s="17">
        <f t="shared" si="2"/>
        <v>5.9082861881147638E-3</v>
      </c>
      <c r="L52" s="8" t="str" cm="1">
        <f t="array" ref="L52">_xlfn.IFS(I52&gt;5%,"High Risk",AND(I52&gt;2%,I52&lt;5%),"Modrate Risk",I52&lt;2%, "Low Risk")</f>
        <v>Low Risk</v>
      </c>
    </row>
    <row r="53" spans="1:12" x14ac:dyDescent="0.25">
      <c r="A53" s="9" t="s">
        <v>55</v>
      </c>
      <c r="B53" s="9">
        <v>81161</v>
      </c>
      <c r="C53" s="9">
        <v>5532</v>
      </c>
      <c r="D53" s="9">
        <v>34896</v>
      </c>
      <c r="E53" s="9">
        <v>40733</v>
      </c>
      <c r="F53" s="9">
        <v>17668824</v>
      </c>
      <c r="G53" s="9" t="s">
        <v>199</v>
      </c>
      <c r="H53" s="10">
        <v>43890</v>
      </c>
      <c r="I53" s="15">
        <f t="shared" si="0"/>
        <v>6.8160816155542689E-2</v>
      </c>
      <c r="J53" s="15">
        <f t="shared" si="1"/>
        <v>0.42996020256034301</v>
      </c>
      <c r="K53" s="18">
        <f t="shared" si="2"/>
        <v>4.5934579460410038E-3</v>
      </c>
      <c r="L53" s="9" t="str" cm="1">
        <f t="array" ref="L53">_xlfn.IFS(I53&gt;5%,"High Risk",AND(I53&gt;2%,I53&lt;5%),"Modrate Risk",I53&lt;2%, "Low Risk")</f>
        <v>High Risk</v>
      </c>
    </row>
    <row r="54" spans="1:12" x14ac:dyDescent="0.25">
      <c r="A54" s="8" t="s">
        <v>56</v>
      </c>
      <c r="B54" s="8">
        <v>92482</v>
      </c>
      <c r="C54" s="8">
        <v>4652</v>
      </c>
      <c r="D54" s="8">
        <v>34838</v>
      </c>
      <c r="E54" s="8">
        <v>52992</v>
      </c>
      <c r="F54" s="8">
        <v>102516525</v>
      </c>
      <c r="G54" s="8" t="s">
        <v>197</v>
      </c>
      <c r="H54" s="1">
        <v>43875</v>
      </c>
      <c r="I54" s="14">
        <f t="shared" si="0"/>
        <v>5.0301680326982547E-2</v>
      </c>
      <c r="J54" s="14">
        <f t="shared" si="1"/>
        <v>0.37670033087519733</v>
      </c>
      <c r="K54" s="17">
        <f t="shared" si="2"/>
        <v>9.0211797561417541E-4</v>
      </c>
      <c r="L54" s="8" t="str" cm="1">
        <f t="array" ref="L54">_xlfn.IFS(I54&gt;5%,"High Risk",AND(I54&gt;2%,I54&lt;5%),"Modrate Risk",I54&lt;2%, "Low Risk")</f>
        <v>High Risk</v>
      </c>
    </row>
    <row r="55" spans="1:12" x14ac:dyDescent="0.25">
      <c r="A55" s="9" t="s">
        <v>57</v>
      </c>
      <c r="B55" s="9">
        <v>15035</v>
      </c>
      <c r="C55" s="9">
        <v>408</v>
      </c>
      <c r="D55" s="9">
        <v>7778</v>
      </c>
      <c r="E55" s="9">
        <v>6849</v>
      </c>
      <c r="F55" s="9">
        <v>6489514</v>
      </c>
      <c r="G55" s="9" t="s">
        <v>198</v>
      </c>
      <c r="H55" s="10">
        <v>43909</v>
      </c>
      <c r="I55" s="15">
        <f t="shared" si="0"/>
        <v>2.7136681077485868E-2</v>
      </c>
      <c r="J55" s="15">
        <f t="shared" si="1"/>
        <v>0.51732623877618888</v>
      </c>
      <c r="K55" s="18">
        <f t="shared" si="2"/>
        <v>2.3168144794818227E-3</v>
      </c>
      <c r="L55" s="9" t="str" cm="1">
        <f t="array" ref="L55">_xlfn.IFS(I55&gt;5%,"High Risk",AND(I55&gt;2%,I55&lt;5%),"Modrate Risk",I55&lt;2%, "Low Risk")</f>
        <v>Modrate Risk</v>
      </c>
    </row>
    <row r="56" spans="1:12" x14ac:dyDescent="0.25">
      <c r="A56" s="8" t="s">
        <v>58</v>
      </c>
      <c r="B56" s="8">
        <v>3071</v>
      </c>
      <c r="C56" s="8">
        <v>51</v>
      </c>
      <c r="D56" s="8">
        <v>842</v>
      </c>
      <c r="E56" s="8">
        <v>2178</v>
      </c>
      <c r="F56" s="8">
        <v>1407001</v>
      </c>
      <c r="G56" s="8" t="s">
        <v>197</v>
      </c>
      <c r="H56" s="1">
        <v>43904</v>
      </c>
      <c r="I56" s="14">
        <f t="shared" si="0"/>
        <v>1.6606968414197329E-2</v>
      </c>
      <c r="J56" s="14">
        <f t="shared" si="1"/>
        <v>0.27417779225008143</v>
      </c>
      <c r="K56" s="17">
        <f t="shared" si="2"/>
        <v>2.1826565865980196E-3</v>
      </c>
      <c r="L56" s="8" t="str" cm="1">
        <f t="array" ref="L56">_xlfn.IFS(I56&gt;5%,"High Risk",AND(I56&gt;2%,I56&lt;5%),"Modrate Risk",I56&lt;2%, "Low Risk")</f>
        <v>Low Risk</v>
      </c>
    </row>
    <row r="57" spans="1:12" x14ac:dyDescent="0.25">
      <c r="A57" s="9" t="s">
        <v>59</v>
      </c>
      <c r="B57" s="9">
        <v>265</v>
      </c>
      <c r="C57" s="9">
        <v>0</v>
      </c>
      <c r="D57" s="9">
        <v>191</v>
      </c>
      <c r="E57" s="9">
        <v>74</v>
      </c>
      <c r="F57" s="9">
        <v>3551175</v>
      </c>
      <c r="G57" s="9" t="s">
        <v>197</v>
      </c>
      <c r="H57" s="10">
        <v>43911</v>
      </c>
      <c r="I57" s="15">
        <f t="shared" si="0"/>
        <v>0</v>
      </c>
      <c r="J57" s="15">
        <f t="shared" si="1"/>
        <v>0.72075471698113203</v>
      </c>
      <c r="K57" s="18">
        <f t="shared" si="2"/>
        <v>7.4623188099713479E-5</v>
      </c>
      <c r="L57" s="9" t="str" cm="1">
        <f t="array" ref="L57">_xlfn.IFS(I57&gt;5%,"High Risk",AND(I57&gt;2%,I57&lt;5%),"Modrate Risk",I57&lt;2%, "Low Risk")</f>
        <v>Low Risk</v>
      </c>
    </row>
    <row r="58" spans="1:12" x14ac:dyDescent="0.25">
      <c r="A58" s="8" t="s">
        <v>60</v>
      </c>
      <c r="B58" s="8">
        <v>2034</v>
      </c>
      <c r="C58" s="8">
        <v>69</v>
      </c>
      <c r="D58" s="8">
        <v>1923</v>
      </c>
      <c r="E58" s="8">
        <v>42</v>
      </c>
      <c r="F58" s="8">
        <v>1326627</v>
      </c>
      <c r="G58" s="8" t="s">
        <v>196</v>
      </c>
      <c r="H58" s="1">
        <v>43888</v>
      </c>
      <c r="I58" s="14">
        <f t="shared" si="0"/>
        <v>3.3923303834808259E-2</v>
      </c>
      <c r="J58" s="14">
        <f t="shared" si="1"/>
        <v>0.94542772861356927</v>
      </c>
      <c r="K58" s="17">
        <f t="shared" si="2"/>
        <v>1.5332116714042456E-3</v>
      </c>
      <c r="L58" s="8" t="str" cm="1">
        <f t="array" ref="L58">_xlfn.IFS(I58&gt;5%,"High Risk",AND(I58&gt;2%,I58&lt;5%),"Modrate Risk",I58&lt;2%, "Low Risk")</f>
        <v>Modrate Risk</v>
      </c>
    </row>
    <row r="59" spans="1:12" x14ac:dyDescent="0.25">
      <c r="A59" s="9" t="s">
        <v>61</v>
      </c>
      <c r="B59" s="9">
        <v>2316</v>
      </c>
      <c r="C59" s="9">
        <v>34</v>
      </c>
      <c r="D59" s="9">
        <v>1025</v>
      </c>
      <c r="E59" s="9">
        <v>1257</v>
      </c>
      <c r="F59" s="9">
        <v>1161348</v>
      </c>
      <c r="G59" s="9" t="s">
        <v>197</v>
      </c>
      <c r="H59" s="10">
        <v>43904</v>
      </c>
      <c r="I59" s="15">
        <f t="shared" si="0"/>
        <v>1.468048359240069E-2</v>
      </c>
      <c r="J59" s="15">
        <f t="shared" si="1"/>
        <v>0.442573402417962</v>
      </c>
      <c r="K59" s="18">
        <f t="shared" si="2"/>
        <v>1.9942342863637774E-3</v>
      </c>
      <c r="L59" s="9" t="str" cm="1">
        <f t="array" ref="L59">_xlfn.IFS(I59&gt;5%,"High Risk",AND(I59&gt;2%,I59&lt;5%),"Modrate Risk",I59&lt;2%, "Low Risk")</f>
        <v>Low Risk</v>
      </c>
    </row>
    <row r="60" spans="1:12" x14ac:dyDescent="0.25">
      <c r="A60" s="8" t="s">
        <v>62</v>
      </c>
      <c r="B60" s="8">
        <v>14547</v>
      </c>
      <c r="C60" s="8">
        <v>228</v>
      </c>
      <c r="D60" s="8">
        <v>6386</v>
      </c>
      <c r="E60" s="8">
        <v>7933</v>
      </c>
      <c r="F60" s="8">
        <v>115223736</v>
      </c>
      <c r="G60" s="8" t="s">
        <v>197</v>
      </c>
      <c r="H60" s="1">
        <v>43903</v>
      </c>
      <c r="I60" s="14">
        <f t="shared" si="0"/>
        <v>1.5673334708187256E-2</v>
      </c>
      <c r="J60" s="14">
        <f t="shared" si="1"/>
        <v>0.43899085722142023</v>
      </c>
      <c r="K60" s="17">
        <f t="shared" si="2"/>
        <v>1.2625002890029533E-4</v>
      </c>
      <c r="L60" s="8" t="str" cm="1">
        <f t="array" ref="L60">_xlfn.IFS(I60&gt;5%,"High Risk",AND(I60&gt;2%,I60&lt;5%),"Modrate Risk",I60&lt;2%, "Low Risk")</f>
        <v>Low Risk</v>
      </c>
    </row>
    <row r="61" spans="1:12" x14ac:dyDescent="0.25">
      <c r="A61" s="9" t="s">
        <v>63</v>
      </c>
      <c r="B61" s="9">
        <v>27</v>
      </c>
      <c r="C61" s="9">
        <v>0</v>
      </c>
      <c r="D61" s="9">
        <v>18</v>
      </c>
      <c r="E61" s="9">
        <v>9</v>
      </c>
      <c r="F61" s="9">
        <v>897095</v>
      </c>
      <c r="G61" s="9" t="s">
        <v>200</v>
      </c>
      <c r="H61" s="10">
        <v>43909</v>
      </c>
      <c r="I61" s="15">
        <f t="shared" si="0"/>
        <v>0</v>
      </c>
      <c r="J61" s="15">
        <f t="shared" si="1"/>
        <v>0.66666666666666663</v>
      </c>
      <c r="K61" s="18">
        <f t="shared" si="2"/>
        <v>3.0097146901944609E-5</v>
      </c>
      <c r="L61" s="9" t="str" cm="1">
        <f t="array" ref="L61">_xlfn.IFS(I61&gt;5%,"High Risk",AND(I61&gt;2%,I61&lt;5%),"Modrate Risk",I61&lt;2%, "Low Risk")</f>
        <v>Low Risk</v>
      </c>
    </row>
    <row r="62" spans="1:12" x14ac:dyDescent="0.25">
      <c r="A62" s="8" t="s">
        <v>64</v>
      </c>
      <c r="B62" s="8">
        <v>7398</v>
      </c>
      <c r="C62" s="8">
        <v>329</v>
      </c>
      <c r="D62" s="8">
        <v>6920</v>
      </c>
      <c r="E62" s="8">
        <v>149</v>
      </c>
      <c r="F62" s="8">
        <v>5541604</v>
      </c>
      <c r="G62" s="8" t="s">
        <v>196</v>
      </c>
      <c r="H62" s="1">
        <v>43887</v>
      </c>
      <c r="I62" s="14">
        <f t="shared" si="0"/>
        <v>4.4471478778048121E-2</v>
      </c>
      <c r="J62" s="14">
        <f t="shared" si="1"/>
        <v>0.93538794268721281</v>
      </c>
      <c r="K62" s="17">
        <f t="shared" si="2"/>
        <v>1.334992540066017E-3</v>
      </c>
      <c r="L62" s="8" t="str" cm="1">
        <f t="array" ref="L62">_xlfn.IFS(I62&gt;5%,"High Risk",AND(I62&gt;2%,I62&lt;5%),"Modrate Risk",I62&lt;2%, "Low Risk")</f>
        <v>Modrate Risk</v>
      </c>
    </row>
    <row r="63" spans="1:12" x14ac:dyDescent="0.25">
      <c r="A63" s="9" t="s">
        <v>65</v>
      </c>
      <c r="B63" s="9">
        <v>220352</v>
      </c>
      <c r="C63" s="9">
        <v>30212</v>
      </c>
      <c r="D63" s="9">
        <v>81212</v>
      </c>
      <c r="E63" s="9">
        <v>108928</v>
      </c>
      <c r="F63" s="9">
        <v>65288306</v>
      </c>
      <c r="G63" s="9" t="s">
        <v>196</v>
      </c>
      <c r="H63" s="10">
        <v>43826</v>
      </c>
      <c r="I63" s="15">
        <f t="shared" si="0"/>
        <v>0.13710790008713331</v>
      </c>
      <c r="J63" s="15">
        <f t="shared" si="1"/>
        <v>0.36855576532094103</v>
      </c>
      <c r="K63" s="18">
        <f t="shared" si="2"/>
        <v>3.3750607650932158E-3</v>
      </c>
      <c r="L63" s="9" t="str" cm="1">
        <f t="array" ref="L63">_xlfn.IFS(I63&gt;5%,"High Risk",AND(I63&gt;2%,I63&lt;5%),"Modrate Risk",I63&lt;2%, "Low Risk")</f>
        <v>High Risk</v>
      </c>
    </row>
    <row r="64" spans="1:12" x14ac:dyDescent="0.25">
      <c r="A64" s="8" t="s">
        <v>66</v>
      </c>
      <c r="B64" s="8">
        <v>7189</v>
      </c>
      <c r="C64" s="8">
        <v>49</v>
      </c>
      <c r="D64" s="8">
        <v>4682</v>
      </c>
      <c r="E64" s="8">
        <v>2458</v>
      </c>
      <c r="F64" s="8">
        <v>2230563</v>
      </c>
      <c r="G64" s="8" t="s">
        <v>197</v>
      </c>
      <c r="H64" s="1">
        <v>43902</v>
      </c>
      <c r="I64" s="14">
        <f t="shared" si="0"/>
        <v>6.815968841285297E-3</v>
      </c>
      <c r="J64" s="14">
        <f t="shared" si="1"/>
        <v>0.65127277785505633</v>
      </c>
      <c r="K64" s="17">
        <f t="shared" si="2"/>
        <v>3.2229531288737417E-3</v>
      </c>
      <c r="L64" s="8" t="str" cm="1">
        <f t="array" ref="L64">_xlfn.IFS(I64&gt;5%,"High Risk",AND(I64&gt;2%,I64&lt;5%),"Modrate Risk",I64&lt;2%, "Low Risk")</f>
        <v>Low Risk</v>
      </c>
    </row>
    <row r="65" spans="1:12" x14ac:dyDescent="0.25">
      <c r="A65" s="9" t="s">
        <v>67</v>
      </c>
      <c r="B65" s="9">
        <v>326</v>
      </c>
      <c r="C65" s="9">
        <v>8</v>
      </c>
      <c r="D65" s="9">
        <v>66</v>
      </c>
      <c r="E65" s="9">
        <v>252</v>
      </c>
      <c r="F65" s="9">
        <v>2422754</v>
      </c>
      <c r="G65" s="9" t="s">
        <v>197</v>
      </c>
      <c r="H65" s="10">
        <v>43907</v>
      </c>
      <c r="I65" s="15">
        <f t="shared" si="0"/>
        <v>2.4539877300613498E-2</v>
      </c>
      <c r="J65" s="15">
        <f t="shared" si="1"/>
        <v>0.20245398773006135</v>
      </c>
      <c r="K65" s="18">
        <f t="shared" si="2"/>
        <v>1.345576150116768E-4</v>
      </c>
      <c r="L65" s="9" t="str" cm="1">
        <f t="array" ref="L65">_xlfn.IFS(I65&gt;5%,"High Risk",AND(I65&gt;2%,I65&lt;5%),"Modrate Risk",I65&lt;2%, "Low Risk")</f>
        <v>Modrate Risk</v>
      </c>
    </row>
    <row r="66" spans="1:12" x14ac:dyDescent="0.25">
      <c r="A66" s="8" t="s">
        <v>68</v>
      </c>
      <c r="B66" s="8">
        <v>1137</v>
      </c>
      <c r="C66" s="8">
        <v>16</v>
      </c>
      <c r="D66" s="8">
        <v>922</v>
      </c>
      <c r="E66" s="8">
        <v>199</v>
      </c>
      <c r="F66" s="8">
        <v>3988368</v>
      </c>
      <c r="G66" s="8" t="s">
        <v>195</v>
      </c>
      <c r="H66" s="1">
        <v>43887</v>
      </c>
      <c r="I66" s="14">
        <f t="shared" ref="I66:I129" si="3">C66/B66</f>
        <v>1.4072119613016711E-2</v>
      </c>
      <c r="J66" s="14">
        <f t="shared" ref="J66:J129" si="4">D66/B66</f>
        <v>0.81090589270008795</v>
      </c>
      <c r="K66" s="17">
        <f t="shared" ref="K66:K129" si="5">B66/F66</f>
        <v>2.8507900976038319E-4</v>
      </c>
      <c r="L66" s="8" t="str" cm="1">
        <f t="array" ref="L66">_xlfn.IFS(I66&gt;5%,"High Risk",AND(I66&gt;2%,I66&lt;5%),"Modrate Risk",I66&lt;2%, "Low Risk")</f>
        <v>Low Risk</v>
      </c>
    </row>
    <row r="67" spans="1:12" x14ac:dyDescent="0.25">
      <c r="A67" s="9" t="s">
        <v>69</v>
      </c>
      <c r="B67" s="9">
        <v>207112</v>
      </c>
      <c r="C67" s="9">
        <v>9125</v>
      </c>
      <c r="D67" s="9">
        <v>190314</v>
      </c>
      <c r="E67" s="9">
        <v>7673</v>
      </c>
      <c r="F67" s="9">
        <v>83811260</v>
      </c>
      <c r="G67" s="9" t="s">
        <v>196</v>
      </c>
      <c r="H67" s="10">
        <v>43857</v>
      </c>
      <c r="I67" s="15">
        <f t="shared" si="3"/>
        <v>4.4058287303487965E-2</v>
      </c>
      <c r="J67" s="15">
        <f t="shared" si="4"/>
        <v>0.91889412491791878</v>
      </c>
      <c r="K67" s="18">
        <f t="shared" si="5"/>
        <v>2.4711715347078664E-3</v>
      </c>
      <c r="L67" s="9" t="str" cm="1">
        <f t="array" ref="L67">_xlfn.IFS(I67&gt;5%,"High Risk",AND(I67&gt;2%,I67&lt;5%),"Modrate Risk",I67&lt;2%, "Low Risk")</f>
        <v>Modrate Risk</v>
      </c>
    </row>
    <row r="68" spans="1:12" x14ac:dyDescent="0.25">
      <c r="A68" s="8" t="s">
        <v>70</v>
      </c>
      <c r="B68" s="8">
        <v>33624</v>
      </c>
      <c r="C68" s="8">
        <v>168</v>
      </c>
      <c r="D68" s="8">
        <v>29801</v>
      </c>
      <c r="E68" s="8">
        <v>3655</v>
      </c>
      <c r="F68" s="8">
        <v>31133483</v>
      </c>
      <c r="G68" s="8" t="s">
        <v>197</v>
      </c>
      <c r="H68" s="1">
        <v>43902</v>
      </c>
      <c r="I68" s="14">
        <f t="shared" si="3"/>
        <v>4.9964311206281229E-3</v>
      </c>
      <c r="J68" s="14">
        <f t="shared" si="4"/>
        <v>0.88630145134427785</v>
      </c>
      <c r="K68" s="17">
        <f t="shared" si="5"/>
        <v>1.0799948081620036E-3</v>
      </c>
      <c r="L68" s="8" t="str" cm="1">
        <f t="array" ref="L68">_xlfn.IFS(I68&gt;5%,"High Risk",AND(I68&gt;2%,I68&lt;5%),"Modrate Risk",I68&lt;2%, "Low Risk")</f>
        <v>Low Risk</v>
      </c>
    </row>
    <row r="69" spans="1:12" x14ac:dyDescent="0.25">
      <c r="A69" s="9" t="s">
        <v>71</v>
      </c>
      <c r="B69" s="9">
        <v>4227</v>
      </c>
      <c r="C69" s="9">
        <v>202</v>
      </c>
      <c r="D69" s="9">
        <v>1374</v>
      </c>
      <c r="E69" s="9">
        <v>2651</v>
      </c>
      <c r="F69" s="9">
        <v>10417673</v>
      </c>
      <c r="G69" s="9" t="s">
        <v>196</v>
      </c>
      <c r="H69" s="10">
        <v>43887</v>
      </c>
      <c r="I69" s="15">
        <f t="shared" si="3"/>
        <v>4.7788029335225926E-2</v>
      </c>
      <c r="J69" s="15">
        <f t="shared" si="4"/>
        <v>0.32505322924059615</v>
      </c>
      <c r="K69" s="18">
        <f t="shared" si="5"/>
        <v>4.0575280103339776E-4</v>
      </c>
      <c r="L69" s="9" t="str" cm="1">
        <f t="array" ref="L69">_xlfn.IFS(I69&gt;5%,"High Risk",AND(I69&gt;2%,I69&lt;5%),"Modrate Risk",I69&lt;2%, "Low Risk")</f>
        <v>Modrate Risk</v>
      </c>
    </row>
    <row r="70" spans="1:12" x14ac:dyDescent="0.25">
      <c r="A70" s="8" t="s">
        <v>72</v>
      </c>
      <c r="B70" s="8">
        <v>14</v>
      </c>
      <c r="C70" s="8">
        <v>0</v>
      </c>
      <c r="D70" s="8">
        <v>13</v>
      </c>
      <c r="E70" s="8">
        <v>1</v>
      </c>
      <c r="F70" s="8">
        <v>56780</v>
      </c>
      <c r="G70" s="8" t="s">
        <v>198</v>
      </c>
      <c r="H70" s="1">
        <v>43898</v>
      </c>
      <c r="I70" s="14">
        <f t="shared" si="3"/>
        <v>0</v>
      </c>
      <c r="J70" s="14">
        <f t="shared" si="4"/>
        <v>0.9285714285714286</v>
      </c>
      <c r="K70" s="17">
        <f t="shared" si="5"/>
        <v>2.4656569214512151E-4</v>
      </c>
      <c r="L70" s="8" t="str" cm="1">
        <f t="array" ref="L70">_xlfn.IFS(I70&gt;5%,"High Risk",AND(I70&gt;2%,I70&lt;5%),"Modrate Risk",I70&lt;2%, "Low Risk")</f>
        <v>Low Risk</v>
      </c>
    </row>
    <row r="71" spans="1:12" x14ac:dyDescent="0.25">
      <c r="A71" s="9" t="s">
        <v>73</v>
      </c>
      <c r="B71" s="9">
        <v>23</v>
      </c>
      <c r="C71" s="9">
        <v>0</v>
      </c>
      <c r="D71" s="9">
        <v>23</v>
      </c>
      <c r="E71" s="9">
        <v>0</v>
      </c>
      <c r="F71" s="9">
        <v>112576</v>
      </c>
      <c r="G71" s="9" t="s">
        <v>198</v>
      </c>
      <c r="H71" s="10">
        <v>43912</v>
      </c>
      <c r="I71" s="15">
        <f t="shared" si="3"/>
        <v>0</v>
      </c>
      <c r="J71" s="15">
        <f t="shared" si="4"/>
        <v>1</v>
      </c>
      <c r="K71" s="18">
        <f t="shared" si="5"/>
        <v>2.0430642410460489E-4</v>
      </c>
      <c r="L71" s="9" t="str" cm="1">
        <f t="array" ref="L71">_xlfn.IFS(I71&gt;5%,"High Risk",AND(I71&gt;2%,I71&lt;5%),"Modrate Risk",I71&lt;2%, "Low Risk")</f>
        <v>Low Risk</v>
      </c>
    </row>
    <row r="72" spans="1:12" x14ac:dyDescent="0.25">
      <c r="A72" s="8" t="s">
        <v>74</v>
      </c>
      <c r="B72" s="8">
        <v>45309</v>
      </c>
      <c r="C72" s="8">
        <v>1761</v>
      </c>
      <c r="D72" s="8">
        <v>32455</v>
      </c>
      <c r="E72" s="8">
        <v>11093</v>
      </c>
      <c r="F72" s="8">
        <v>17946899</v>
      </c>
      <c r="G72" s="8" t="s">
        <v>198</v>
      </c>
      <c r="H72" s="1">
        <v>43903</v>
      </c>
      <c r="I72" s="14">
        <f t="shared" si="3"/>
        <v>3.8866450374097861E-2</v>
      </c>
      <c r="J72" s="14">
        <f t="shared" si="4"/>
        <v>0.71630360414045779</v>
      </c>
      <c r="K72" s="17">
        <f t="shared" si="5"/>
        <v>2.5246144194604318E-3</v>
      </c>
      <c r="L72" s="8" t="str" cm="1">
        <f t="array" ref="L72">_xlfn.IFS(I72&gt;5%,"High Risk",AND(I72&gt;2%,I72&lt;5%),"Modrate Risk",I72&lt;2%, "Low Risk")</f>
        <v>Modrate Risk</v>
      </c>
    </row>
    <row r="73" spans="1:12" x14ac:dyDescent="0.25">
      <c r="A73" s="9" t="s">
        <v>75</v>
      </c>
      <c r="B73" s="9">
        <v>7055</v>
      </c>
      <c r="C73" s="9">
        <v>45</v>
      </c>
      <c r="D73" s="9">
        <v>6257</v>
      </c>
      <c r="E73" s="9">
        <v>753</v>
      </c>
      <c r="F73" s="9">
        <v>13164905</v>
      </c>
      <c r="G73" s="9" t="s">
        <v>197</v>
      </c>
      <c r="H73" s="10">
        <v>43903</v>
      </c>
      <c r="I73" s="15">
        <f t="shared" si="3"/>
        <v>6.3784549964564135E-3</v>
      </c>
      <c r="J73" s="15">
        <f t="shared" si="4"/>
        <v>0.88688873139617297</v>
      </c>
      <c r="K73" s="18">
        <f t="shared" si="5"/>
        <v>5.3589448613567661E-4</v>
      </c>
      <c r="L73" s="9" t="str" cm="1">
        <f t="array" ref="L73">_xlfn.IFS(I73&gt;5%,"High Risk",AND(I73&gt;2%,I73&lt;5%),"Modrate Risk",I73&lt;2%, "Low Risk")</f>
        <v>Low Risk</v>
      </c>
    </row>
    <row r="74" spans="1:12" x14ac:dyDescent="0.25">
      <c r="A74" s="8" t="s">
        <v>76</v>
      </c>
      <c r="B74" s="8">
        <v>1954</v>
      </c>
      <c r="C74" s="8">
        <v>26</v>
      </c>
      <c r="D74" s="8">
        <v>803</v>
      </c>
      <c r="E74" s="8">
        <v>1125</v>
      </c>
      <c r="F74" s="8">
        <v>1972277</v>
      </c>
      <c r="G74" s="8" t="s">
        <v>197</v>
      </c>
      <c r="H74" s="1">
        <v>43915</v>
      </c>
      <c r="I74" s="14">
        <f t="shared" si="3"/>
        <v>1.3306038894575231E-2</v>
      </c>
      <c r="J74" s="14">
        <f t="shared" si="4"/>
        <v>0.41095189355168882</v>
      </c>
      <c r="K74" s="17">
        <f t="shared" si="5"/>
        <v>9.907330461187754E-4</v>
      </c>
      <c r="L74" s="8" t="str" cm="1">
        <f t="array" ref="L74">_xlfn.IFS(I74&gt;5%,"High Risk",AND(I74&gt;2%,I74&lt;5%),"Modrate Risk",I74&lt;2%, "Low Risk")</f>
        <v>Low Risk</v>
      </c>
    </row>
    <row r="75" spans="1:12" x14ac:dyDescent="0.25">
      <c r="A75" s="9" t="s">
        <v>77</v>
      </c>
      <c r="B75" s="9">
        <v>389</v>
      </c>
      <c r="C75" s="9">
        <v>20</v>
      </c>
      <c r="D75" s="9">
        <v>181</v>
      </c>
      <c r="E75" s="9">
        <v>188</v>
      </c>
      <c r="F75" s="9">
        <v>786936</v>
      </c>
      <c r="G75" s="9" t="s">
        <v>199</v>
      </c>
      <c r="H75" s="10">
        <v>43902</v>
      </c>
      <c r="I75" s="15">
        <f t="shared" si="3"/>
        <v>5.1413881748071981E-2</v>
      </c>
      <c r="J75" s="15">
        <f t="shared" si="4"/>
        <v>0.4652956298200514</v>
      </c>
      <c r="K75" s="18">
        <f t="shared" si="5"/>
        <v>4.943222828794209E-4</v>
      </c>
      <c r="L75" s="9" t="str" cm="1">
        <f t="array" ref="L75">_xlfn.IFS(I75&gt;5%,"High Risk",AND(I75&gt;2%,I75&lt;5%),"Modrate Risk",I75&lt;2%, "Low Risk")</f>
        <v>High Risk</v>
      </c>
    </row>
    <row r="76" spans="1:12" x14ac:dyDescent="0.25">
      <c r="A76" s="8" t="s">
        <v>78</v>
      </c>
      <c r="B76" s="8">
        <v>7340</v>
      </c>
      <c r="C76" s="8">
        <v>158</v>
      </c>
      <c r="D76" s="8">
        <v>4365</v>
      </c>
      <c r="E76" s="8">
        <v>2817</v>
      </c>
      <c r="F76" s="8">
        <v>11416103</v>
      </c>
      <c r="G76" s="8" t="s">
        <v>198</v>
      </c>
      <c r="H76" s="1">
        <v>43909</v>
      </c>
      <c r="I76" s="14">
        <f t="shared" si="3"/>
        <v>2.1525885558583105E-2</v>
      </c>
      <c r="J76" s="14">
        <f t="shared" si="4"/>
        <v>0.59468664850136244</v>
      </c>
      <c r="K76" s="17">
        <f t="shared" si="5"/>
        <v>6.4295145199723587E-4</v>
      </c>
      <c r="L76" s="8" t="str" cm="1">
        <f t="array" ref="L76">_xlfn.IFS(I76&gt;5%,"High Risk",AND(I76&gt;2%,I76&lt;5%),"Modrate Risk",I76&lt;2%, "Low Risk")</f>
        <v>Modrate Risk</v>
      </c>
    </row>
    <row r="77" spans="1:12" x14ac:dyDescent="0.25">
      <c r="A77" s="9" t="s">
        <v>79</v>
      </c>
      <c r="B77" s="9">
        <v>12</v>
      </c>
      <c r="C77" s="9">
        <v>0</v>
      </c>
      <c r="D77" s="9">
        <v>12</v>
      </c>
      <c r="E77" s="9">
        <v>0</v>
      </c>
      <c r="F77" s="12">
        <v>528</v>
      </c>
      <c r="G77" s="9" t="s">
        <v>196</v>
      </c>
      <c r="H77" s="10">
        <v>43912</v>
      </c>
      <c r="I77" s="15">
        <f t="shared" si="3"/>
        <v>0</v>
      </c>
      <c r="J77" s="15">
        <f t="shared" si="4"/>
        <v>1</v>
      </c>
      <c r="K77" s="18">
        <f t="shared" si="5"/>
        <v>2.2727272727272728E-2</v>
      </c>
      <c r="L77" s="9" t="str" cm="1">
        <f t="array" ref="L77">_xlfn.IFS(I77&gt;5%,"High Risk",AND(I77&gt;2%,I77&lt;5%),"Modrate Risk",I77&lt;2%, "Low Risk")</f>
        <v>Low Risk</v>
      </c>
    </row>
    <row r="78" spans="1:12" x14ac:dyDescent="0.25">
      <c r="A78" s="8" t="s">
        <v>80</v>
      </c>
      <c r="B78" s="8">
        <v>39741</v>
      </c>
      <c r="C78" s="8">
        <v>1166</v>
      </c>
      <c r="D78" s="8">
        <v>5039</v>
      </c>
      <c r="E78" s="8">
        <v>33536</v>
      </c>
      <c r="F78" s="11">
        <v>10012084</v>
      </c>
      <c r="G78" s="8" t="s">
        <v>198</v>
      </c>
      <c r="H78" s="1">
        <v>43907</v>
      </c>
      <c r="I78" s="14">
        <f t="shared" si="3"/>
        <v>2.9339976346845827E-2</v>
      </c>
      <c r="J78" s="14">
        <f t="shared" si="4"/>
        <v>0.12679600412672051</v>
      </c>
      <c r="K78" s="17">
        <f t="shared" si="5"/>
        <v>3.9693034936582631E-3</v>
      </c>
      <c r="L78" s="8" t="str" cm="1">
        <f t="array" ref="L78">_xlfn.IFS(I78&gt;5%,"High Risk",AND(I78&gt;2%,I78&lt;5%),"Modrate Risk",I78&lt;2%, "Low Risk")</f>
        <v>Modrate Risk</v>
      </c>
    </row>
    <row r="79" spans="1:12" x14ac:dyDescent="0.25">
      <c r="A79" s="9" t="s">
        <v>81</v>
      </c>
      <c r="B79" s="9">
        <v>4448</v>
      </c>
      <c r="C79" s="9">
        <v>596</v>
      </c>
      <c r="D79" s="9">
        <v>3329</v>
      </c>
      <c r="E79" s="9">
        <v>523</v>
      </c>
      <c r="F79" s="9">
        <v>9657785</v>
      </c>
      <c r="G79" s="9" t="s">
        <v>196</v>
      </c>
      <c r="H79" s="10">
        <v>43894</v>
      </c>
      <c r="I79" s="15">
        <f t="shared" si="3"/>
        <v>0.13399280575539568</v>
      </c>
      <c r="J79" s="15">
        <f t="shared" si="4"/>
        <v>0.74842625899280579</v>
      </c>
      <c r="K79" s="18">
        <f t="shared" si="5"/>
        <v>4.6056109138896753E-4</v>
      </c>
      <c r="L79" s="9" t="str" cm="1">
        <f t="array" ref="L79">_xlfn.IFS(I79&gt;5%,"High Risk",AND(I79&gt;2%,I79&lt;5%),"Modrate Risk",I79&lt;2%, "Low Risk")</f>
        <v>High Risk</v>
      </c>
    </row>
    <row r="80" spans="1:12" x14ac:dyDescent="0.25">
      <c r="A80" s="8" t="s">
        <v>82</v>
      </c>
      <c r="B80" s="8">
        <v>1854</v>
      </c>
      <c r="C80" s="8">
        <v>10</v>
      </c>
      <c r="D80" s="8">
        <v>1823</v>
      </c>
      <c r="E80" s="8">
        <v>21</v>
      </c>
      <c r="F80" s="8">
        <v>341465</v>
      </c>
      <c r="G80" s="8" t="s">
        <v>196</v>
      </c>
      <c r="H80" s="1">
        <v>43889</v>
      </c>
      <c r="I80" s="14">
        <f t="shared" si="3"/>
        <v>5.3937432578209281E-3</v>
      </c>
      <c r="J80" s="14">
        <f t="shared" si="4"/>
        <v>0.98327939590075508</v>
      </c>
      <c r="K80" s="17">
        <f t="shared" si="5"/>
        <v>5.4295462199639788E-3</v>
      </c>
      <c r="L80" s="8" t="str" cm="1">
        <f t="array" ref="L80">_xlfn.IFS(I80&gt;5%,"High Risk",AND(I80&gt;2%,I80&lt;5%),"Modrate Risk",I80&lt;2%, "Low Risk")</f>
        <v>Low Risk</v>
      </c>
    </row>
    <row r="81" spans="1:12" x14ac:dyDescent="0.25">
      <c r="A81" s="9" t="s">
        <v>83</v>
      </c>
      <c r="B81" s="9">
        <v>1480073</v>
      </c>
      <c r="C81" s="9">
        <v>33408</v>
      </c>
      <c r="D81" s="9">
        <v>951166</v>
      </c>
      <c r="E81" s="9">
        <v>495499</v>
      </c>
      <c r="F81" s="9">
        <v>1381344997</v>
      </c>
      <c r="G81" s="9" t="s">
        <v>195</v>
      </c>
      <c r="H81" s="10">
        <v>43860</v>
      </c>
      <c r="I81" s="15">
        <f t="shared" si="3"/>
        <v>2.2571859631247918E-2</v>
      </c>
      <c r="J81" s="15">
        <f t="shared" si="4"/>
        <v>0.64264803154979522</v>
      </c>
      <c r="K81" s="18">
        <f t="shared" si="5"/>
        <v>1.0714723716482247E-3</v>
      </c>
      <c r="L81" s="9" t="str" cm="1">
        <f t="array" ref="L81">_xlfn.IFS(I81&gt;5%,"High Risk",AND(I81&gt;2%,I81&lt;5%),"Modrate Risk",I81&lt;2%, "Low Risk")</f>
        <v>Modrate Risk</v>
      </c>
    </row>
    <row r="82" spans="1:12" x14ac:dyDescent="0.25">
      <c r="A82" s="8" t="s">
        <v>84</v>
      </c>
      <c r="B82" s="8">
        <v>100303</v>
      </c>
      <c r="C82" s="8">
        <v>4838</v>
      </c>
      <c r="D82" s="8">
        <v>58173</v>
      </c>
      <c r="E82" s="8">
        <v>37292</v>
      </c>
      <c r="F82" s="8">
        <v>273808365</v>
      </c>
      <c r="G82" s="8" t="s">
        <v>195</v>
      </c>
      <c r="H82" s="1">
        <v>43892</v>
      </c>
      <c r="I82" s="14">
        <f t="shared" si="3"/>
        <v>4.8233851430166598E-2</v>
      </c>
      <c r="J82" s="14">
        <f t="shared" si="4"/>
        <v>0.57997268277120329</v>
      </c>
      <c r="K82" s="17">
        <f t="shared" si="5"/>
        <v>3.6632555035343787E-4</v>
      </c>
      <c r="L82" s="8" t="str" cm="1">
        <f t="array" ref="L82">_xlfn.IFS(I82&gt;5%,"High Risk",AND(I82&gt;2%,I82&lt;5%),"Modrate Risk",I82&lt;2%, "Low Risk")</f>
        <v>Modrate Risk</v>
      </c>
    </row>
    <row r="83" spans="1:12" x14ac:dyDescent="0.25">
      <c r="A83" s="9" t="s">
        <v>85</v>
      </c>
      <c r="B83" s="9">
        <v>293606</v>
      </c>
      <c r="C83" s="9">
        <v>15912</v>
      </c>
      <c r="D83" s="9">
        <v>255144</v>
      </c>
      <c r="E83" s="9">
        <v>22550</v>
      </c>
      <c r="F83" s="9">
        <v>84097623</v>
      </c>
      <c r="G83" s="9" t="s">
        <v>195</v>
      </c>
      <c r="H83" s="10">
        <v>43880</v>
      </c>
      <c r="I83" s="15">
        <f t="shared" si="3"/>
        <v>5.4195077757266542E-2</v>
      </c>
      <c r="J83" s="15">
        <f t="shared" si="4"/>
        <v>0.86900131468702957</v>
      </c>
      <c r="K83" s="18">
        <f t="shared" si="5"/>
        <v>3.4912520654715772E-3</v>
      </c>
      <c r="L83" s="9" t="str" cm="1">
        <f t="array" ref="L83">_xlfn.IFS(I83&gt;5%,"High Risk",AND(I83&gt;2%,I83&lt;5%),"Modrate Risk",I83&lt;2%, "Low Risk")</f>
        <v>High Risk</v>
      </c>
    </row>
    <row r="84" spans="1:12" x14ac:dyDescent="0.25">
      <c r="A84" s="8" t="s">
        <v>86</v>
      </c>
      <c r="B84" s="8">
        <v>112585</v>
      </c>
      <c r="C84" s="8">
        <v>4458</v>
      </c>
      <c r="D84" s="8">
        <v>77144</v>
      </c>
      <c r="E84" s="8">
        <v>30983</v>
      </c>
      <c r="F84" s="8">
        <v>40306025</v>
      </c>
      <c r="G84" s="8" t="s">
        <v>195</v>
      </c>
      <c r="H84" s="1">
        <v>43883</v>
      </c>
      <c r="I84" s="14">
        <f t="shared" si="3"/>
        <v>3.9596749122884932E-2</v>
      </c>
      <c r="J84" s="14">
        <f t="shared" si="4"/>
        <v>0.68520673269085575</v>
      </c>
      <c r="K84" s="17">
        <f t="shared" si="5"/>
        <v>2.7932548545781927E-3</v>
      </c>
      <c r="L84" s="8" t="str" cm="1">
        <f t="array" ref="L84">_xlfn.IFS(I84&gt;5%,"High Risk",AND(I84&gt;2%,I84&lt;5%),"Modrate Risk",I84&lt;2%, "Low Risk")</f>
        <v>Modrate Risk</v>
      </c>
    </row>
    <row r="85" spans="1:12" x14ac:dyDescent="0.25">
      <c r="A85" s="9" t="s">
        <v>87</v>
      </c>
      <c r="B85" s="9">
        <v>25892</v>
      </c>
      <c r="C85" s="9">
        <v>1764</v>
      </c>
      <c r="D85" s="9">
        <v>23364</v>
      </c>
      <c r="E85" s="9">
        <v>764</v>
      </c>
      <c r="F85" s="9">
        <v>4943200</v>
      </c>
      <c r="G85" s="9" t="s">
        <v>196</v>
      </c>
      <c r="H85" s="10">
        <v>43890</v>
      </c>
      <c r="I85" s="15">
        <f t="shared" si="3"/>
        <v>6.8129151861578863E-2</v>
      </c>
      <c r="J85" s="15">
        <f t="shared" si="4"/>
        <v>0.90236366445234051</v>
      </c>
      <c r="K85" s="18">
        <f t="shared" si="5"/>
        <v>5.2379025732319142E-3</v>
      </c>
      <c r="L85" s="9" t="str" cm="1">
        <f t="array" ref="L85">_xlfn.IFS(I85&gt;5%,"High Risk",AND(I85&gt;2%,I85&lt;5%),"Modrate Risk",I85&lt;2%, "Low Risk")</f>
        <v>High Risk</v>
      </c>
    </row>
    <row r="86" spans="1:12" x14ac:dyDescent="0.25">
      <c r="A86" s="8" t="s">
        <v>88</v>
      </c>
      <c r="B86" s="8">
        <v>63985</v>
      </c>
      <c r="C86" s="8">
        <v>474</v>
      </c>
      <c r="D86" s="8">
        <v>27133</v>
      </c>
      <c r="E86" s="8">
        <v>36378</v>
      </c>
      <c r="F86" s="8">
        <v>9197590</v>
      </c>
      <c r="G86" s="8" t="s">
        <v>195</v>
      </c>
      <c r="H86" s="1">
        <v>43882</v>
      </c>
      <c r="I86" s="14">
        <f t="shared" si="3"/>
        <v>7.407986246776588E-3</v>
      </c>
      <c r="J86" s="14">
        <f t="shared" si="4"/>
        <v>0.42405251230757207</v>
      </c>
      <c r="K86" s="17">
        <f t="shared" si="5"/>
        <v>6.9567136608611607E-3</v>
      </c>
      <c r="L86" s="8" t="str" cm="1">
        <f t="array" ref="L86">_xlfn.IFS(I86&gt;5%,"High Risk",AND(I86&gt;2%,I86&lt;5%),"Modrate Risk",I86&lt;2%, "Low Risk")</f>
        <v>Low Risk</v>
      </c>
    </row>
    <row r="87" spans="1:12" x14ac:dyDescent="0.25">
      <c r="A87" s="9" t="s">
        <v>89</v>
      </c>
      <c r="B87" s="9">
        <v>246286</v>
      </c>
      <c r="C87" s="9">
        <v>35112</v>
      </c>
      <c r="D87" s="9">
        <v>198593</v>
      </c>
      <c r="E87" s="9">
        <v>12581</v>
      </c>
      <c r="F87" s="9">
        <v>60452568</v>
      </c>
      <c r="G87" s="9" t="s">
        <v>196</v>
      </c>
      <c r="H87" s="10">
        <v>43861</v>
      </c>
      <c r="I87" s="15">
        <f t="shared" si="3"/>
        <v>0.14256595990027854</v>
      </c>
      <c r="J87" s="15">
        <f t="shared" si="4"/>
        <v>0.80635115272488078</v>
      </c>
      <c r="K87" s="18">
        <f t="shared" si="5"/>
        <v>4.0740370202304726E-3</v>
      </c>
      <c r="L87" s="9" t="str" cm="1">
        <f t="array" ref="L87">_xlfn.IFS(I87&gt;5%,"High Risk",AND(I87&gt;2%,I87&lt;5%),"Modrate Risk",I87&lt;2%, "Low Risk")</f>
        <v>High Risk</v>
      </c>
    </row>
    <row r="88" spans="1:12" x14ac:dyDescent="0.25">
      <c r="A88" s="8" t="s">
        <v>90</v>
      </c>
      <c r="B88" s="8">
        <v>853</v>
      </c>
      <c r="C88" s="8">
        <v>10</v>
      </c>
      <c r="D88" s="8">
        <v>714</v>
      </c>
      <c r="E88" s="8">
        <v>129</v>
      </c>
      <c r="F88" s="8">
        <v>2962478</v>
      </c>
      <c r="G88" s="8" t="s">
        <v>198</v>
      </c>
      <c r="H88" s="1">
        <v>43900</v>
      </c>
      <c r="I88" s="14">
        <f t="shared" si="3"/>
        <v>1.1723329425556858E-2</v>
      </c>
      <c r="J88" s="14">
        <f t="shared" si="4"/>
        <v>0.83704572098475971</v>
      </c>
      <c r="K88" s="17">
        <f t="shared" si="5"/>
        <v>2.8793462770018881E-4</v>
      </c>
      <c r="L88" s="8" t="str" cm="1">
        <f t="array" ref="L88">_xlfn.IFS(I88&gt;5%,"High Risk",AND(I88&gt;2%,I88&lt;5%),"Modrate Risk",I88&lt;2%, "Low Risk")</f>
        <v>Low Risk</v>
      </c>
    </row>
    <row r="89" spans="1:12" x14ac:dyDescent="0.25">
      <c r="A89" s="9" t="s">
        <v>91</v>
      </c>
      <c r="B89" s="9">
        <v>31142</v>
      </c>
      <c r="C89" s="9">
        <v>998</v>
      </c>
      <c r="D89" s="9">
        <v>21970</v>
      </c>
      <c r="E89" s="9">
        <v>8174</v>
      </c>
      <c r="F89" s="9">
        <v>126435859</v>
      </c>
      <c r="G89" s="9" t="s">
        <v>195</v>
      </c>
      <c r="H89" s="10">
        <v>43846</v>
      </c>
      <c r="I89" s="15">
        <f t="shared" si="3"/>
        <v>3.2046753580373774E-2</v>
      </c>
      <c r="J89" s="15">
        <f t="shared" si="4"/>
        <v>0.70547813242566304</v>
      </c>
      <c r="K89" s="18">
        <f t="shared" si="5"/>
        <v>2.4630670639094564E-4</v>
      </c>
      <c r="L89" s="9" t="str" cm="1">
        <f t="array" ref="L89">_xlfn.IFS(I89&gt;5%,"High Risk",AND(I89&gt;2%,I89&lt;5%),"Modrate Risk",I89&lt;2%, "Low Risk")</f>
        <v>Modrate Risk</v>
      </c>
    </row>
    <row r="90" spans="1:12" x14ac:dyDescent="0.25">
      <c r="A90" s="8" t="s">
        <v>92</v>
      </c>
      <c r="B90" s="8">
        <v>1176</v>
      </c>
      <c r="C90" s="8">
        <v>11</v>
      </c>
      <c r="D90" s="8">
        <v>1041</v>
      </c>
      <c r="E90" s="8">
        <v>124</v>
      </c>
      <c r="F90" s="8">
        <v>10213138</v>
      </c>
      <c r="G90" s="8" t="s">
        <v>195</v>
      </c>
      <c r="H90" s="1">
        <v>43892</v>
      </c>
      <c r="I90" s="14">
        <f t="shared" si="3"/>
        <v>9.3537414965986394E-3</v>
      </c>
      <c r="J90" s="14">
        <f t="shared" si="4"/>
        <v>0.88520408163265307</v>
      </c>
      <c r="K90" s="17">
        <f t="shared" si="5"/>
        <v>1.1514580533426651E-4</v>
      </c>
      <c r="L90" s="8" t="str" cm="1">
        <f t="array" ref="L90">_xlfn.IFS(I90&gt;5%,"High Risk",AND(I90&gt;2%,I90&lt;5%),"Modrate Risk",I90&lt;2%, "Low Risk")</f>
        <v>Low Risk</v>
      </c>
    </row>
    <row r="91" spans="1:12" x14ac:dyDescent="0.25">
      <c r="A91" s="9" t="s">
        <v>93</v>
      </c>
      <c r="B91" s="9">
        <v>84648</v>
      </c>
      <c r="C91" s="9">
        <v>585</v>
      </c>
      <c r="D91" s="9">
        <v>54404</v>
      </c>
      <c r="E91" s="9">
        <v>29659</v>
      </c>
      <c r="F91" s="9">
        <v>18798667</v>
      </c>
      <c r="G91" s="9" t="s">
        <v>195</v>
      </c>
      <c r="H91" s="10">
        <v>43903</v>
      </c>
      <c r="I91" s="15">
        <f t="shared" si="3"/>
        <v>6.9109724978735467E-3</v>
      </c>
      <c r="J91" s="15">
        <f t="shared" si="4"/>
        <v>0.64270862867403833</v>
      </c>
      <c r="K91" s="18">
        <f t="shared" si="5"/>
        <v>4.5028724643082409E-3</v>
      </c>
      <c r="L91" s="9" t="str" cm="1">
        <f t="array" ref="L91">_xlfn.IFS(I91&gt;5%,"High Risk",AND(I91&gt;2%,I91&lt;5%),"Modrate Risk",I91&lt;2%, "Low Risk")</f>
        <v>Low Risk</v>
      </c>
    </row>
    <row r="92" spans="1:12" x14ac:dyDescent="0.25">
      <c r="A92" s="8" t="s">
        <v>94</v>
      </c>
      <c r="B92" s="8">
        <v>17975</v>
      </c>
      <c r="C92" s="8">
        <v>285</v>
      </c>
      <c r="D92" s="8">
        <v>7833</v>
      </c>
      <c r="E92" s="8">
        <v>9857</v>
      </c>
      <c r="F92" s="8">
        <v>53881160</v>
      </c>
      <c r="G92" s="8" t="s">
        <v>197</v>
      </c>
      <c r="H92" s="1">
        <v>43903</v>
      </c>
      <c r="I92" s="14">
        <f t="shared" si="3"/>
        <v>1.5855354659248956E-2</v>
      </c>
      <c r="J92" s="14">
        <f t="shared" si="4"/>
        <v>0.4357719054242003</v>
      </c>
      <c r="K92" s="17">
        <f t="shared" si="5"/>
        <v>3.3360454748932648E-4</v>
      </c>
      <c r="L92" s="8" t="str" cm="1">
        <f t="array" ref="L92">_xlfn.IFS(I92&gt;5%,"High Risk",AND(I92&gt;2%,I92&lt;5%),"Modrate Risk",I92&lt;2%, "Low Risk")</f>
        <v>Low Risk</v>
      </c>
    </row>
    <row r="93" spans="1:12" x14ac:dyDescent="0.25">
      <c r="A93" s="9" t="s">
        <v>95</v>
      </c>
      <c r="B93" s="9">
        <v>7413</v>
      </c>
      <c r="C93" s="9">
        <v>185</v>
      </c>
      <c r="D93" s="9">
        <v>4027</v>
      </c>
      <c r="E93" s="9">
        <v>3201</v>
      </c>
      <c r="F93" s="13">
        <v>1790152</v>
      </c>
      <c r="G93" s="9" t="s">
        <v>196</v>
      </c>
      <c r="H93" s="10">
        <v>43903</v>
      </c>
      <c r="I93" s="15">
        <f t="shared" si="3"/>
        <v>2.4956158100634021E-2</v>
      </c>
      <c r="J93" s="15">
        <f t="shared" si="4"/>
        <v>0.54323485768244972</v>
      </c>
      <c r="K93" s="18">
        <f t="shared" si="5"/>
        <v>4.1409891450558392E-3</v>
      </c>
      <c r="L93" s="9" t="str" cm="1">
        <f t="array" ref="L93">_xlfn.IFS(I93&gt;5%,"High Risk",AND(I93&gt;2%,I93&lt;5%),"Modrate Risk",I93&lt;2%, "Low Risk")</f>
        <v>Modrate Risk</v>
      </c>
    </row>
    <row r="94" spans="1:12" x14ac:dyDescent="0.25">
      <c r="A94" s="8" t="s">
        <v>96</v>
      </c>
      <c r="B94" s="8">
        <v>64379</v>
      </c>
      <c r="C94" s="8">
        <v>438</v>
      </c>
      <c r="D94" s="8">
        <v>55057</v>
      </c>
      <c r="E94" s="8">
        <v>8884</v>
      </c>
      <c r="F94" s="8">
        <v>4276658</v>
      </c>
      <c r="G94" s="8" t="s">
        <v>195</v>
      </c>
      <c r="H94" s="1">
        <v>43885</v>
      </c>
      <c r="I94" s="14">
        <f t="shared" si="3"/>
        <v>6.8034607558365304E-3</v>
      </c>
      <c r="J94" s="14">
        <f t="shared" si="4"/>
        <v>0.85520123021482164</v>
      </c>
      <c r="K94" s="17">
        <f t="shared" si="5"/>
        <v>1.5053576881761413E-2</v>
      </c>
      <c r="L94" s="8" t="str" cm="1">
        <f t="array" ref="L94">_xlfn.IFS(I94&gt;5%,"High Risk",AND(I94&gt;2%,I94&lt;5%),"Modrate Risk",I94&lt;2%, "Low Risk")</f>
        <v>Low Risk</v>
      </c>
    </row>
    <row r="95" spans="1:12" x14ac:dyDescent="0.25">
      <c r="A95" s="9" t="s">
        <v>97</v>
      </c>
      <c r="B95" s="9">
        <v>33296</v>
      </c>
      <c r="C95" s="9">
        <v>1301</v>
      </c>
      <c r="D95" s="9">
        <v>21205</v>
      </c>
      <c r="E95" s="9">
        <v>10790</v>
      </c>
      <c r="F95" s="9">
        <v>6534479</v>
      </c>
      <c r="G95" s="9" t="s">
        <v>195</v>
      </c>
      <c r="H95" s="10">
        <v>43908</v>
      </c>
      <c r="I95" s="15">
        <f t="shared" si="3"/>
        <v>3.9073762614127823E-2</v>
      </c>
      <c r="J95" s="15">
        <f t="shared" si="4"/>
        <v>0.63686328688130711</v>
      </c>
      <c r="K95" s="18">
        <f t="shared" si="5"/>
        <v>5.0954330100379842E-3</v>
      </c>
      <c r="L95" s="9" t="str" cm="1">
        <f t="array" ref="L95">_xlfn.IFS(I95&gt;5%,"High Risk",AND(I95&gt;2%,I95&lt;5%),"Modrate Risk",I95&lt;2%, "Low Risk")</f>
        <v>Modrate Risk</v>
      </c>
    </row>
    <row r="96" spans="1:12" x14ac:dyDescent="0.25">
      <c r="A96" s="8" t="s">
        <v>98</v>
      </c>
      <c r="B96" s="8">
        <v>20</v>
      </c>
      <c r="C96" s="8">
        <v>0</v>
      </c>
      <c r="D96" s="8">
        <v>19</v>
      </c>
      <c r="E96" s="8">
        <v>1</v>
      </c>
      <c r="F96" s="8">
        <v>7285750</v>
      </c>
      <c r="G96" s="8" t="s">
        <v>195</v>
      </c>
      <c r="H96" s="1">
        <v>43914</v>
      </c>
      <c r="I96" s="14">
        <f t="shared" si="3"/>
        <v>0</v>
      </c>
      <c r="J96" s="14">
        <f t="shared" si="4"/>
        <v>0.95</v>
      </c>
      <c r="K96" s="17">
        <f t="shared" si="5"/>
        <v>2.7450845829187114E-6</v>
      </c>
      <c r="L96" s="8" t="str" cm="1">
        <f t="array" ref="L96">_xlfn.IFS(I96&gt;5%,"High Risk",AND(I96&gt;2%,I96&lt;5%),"Modrate Risk",I96&lt;2%, "Low Risk")</f>
        <v>Low Risk</v>
      </c>
    </row>
    <row r="97" spans="1:12" x14ac:dyDescent="0.25">
      <c r="A97" s="9" t="s">
        <v>99</v>
      </c>
      <c r="B97" s="9">
        <v>1219</v>
      </c>
      <c r="C97" s="9">
        <v>31</v>
      </c>
      <c r="D97" s="9">
        <v>1045</v>
      </c>
      <c r="E97" s="9">
        <v>143</v>
      </c>
      <c r="F97" s="9">
        <v>1883936</v>
      </c>
      <c r="G97" s="9" t="s">
        <v>196</v>
      </c>
      <c r="H97" s="10">
        <v>43892</v>
      </c>
      <c r="I97" s="15">
        <f t="shared" si="3"/>
        <v>2.5430680885972109E-2</v>
      </c>
      <c r="J97" s="15">
        <f t="shared" si="4"/>
        <v>0.85726004922067267</v>
      </c>
      <c r="K97" s="18">
        <f t="shared" si="5"/>
        <v>6.4704958130212494E-4</v>
      </c>
      <c r="L97" s="9" t="str" cm="1">
        <f t="array" ref="L97">_xlfn.IFS(I97&gt;5%,"High Risk",AND(I97&gt;2%,I97&lt;5%),"Modrate Risk",I97&lt;2%, "Low Risk")</f>
        <v>Modrate Risk</v>
      </c>
    </row>
    <row r="98" spans="1:12" x14ac:dyDescent="0.25">
      <c r="A98" s="8" t="s">
        <v>100</v>
      </c>
      <c r="B98" s="8">
        <v>3882</v>
      </c>
      <c r="C98" s="8">
        <v>51</v>
      </c>
      <c r="D98" s="8">
        <v>1709</v>
      </c>
      <c r="E98" s="8">
        <v>2122</v>
      </c>
      <c r="F98" s="8">
        <v>6822220</v>
      </c>
      <c r="G98" s="8" t="s">
        <v>195</v>
      </c>
      <c r="H98" s="1">
        <v>43882</v>
      </c>
      <c r="I98" s="14">
        <f t="shared" si="3"/>
        <v>1.3137557959814529E-2</v>
      </c>
      <c r="J98" s="14">
        <f t="shared" si="4"/>
        <v>0.44023699124162802</v>
      </c>
      <c r="K98" s="17">
        <f t="shared" si="5"/>
        <v>5.6902298665243865E-4</v>
      </c>
      <c r="L98" s="8" t="str" cm="1">
        <f t="array" ref="L98">_xlfn.IFS(I98&gt;5%,"High Risk",AND(I98&gt;2%,I98&lt;5%),"Modrate Risk",I98&lt;2%, "Low Risk")</f>
        <v>Low Risk</v>
      </c>
    </row>
    <row r="99" spans="1:12" x14ac:dyDescent="0.25">
      <c r="A99" s="9" t="s">
        <v>101</v>
      </c>
      <c r="B99" s="9">
        <v>505</v>
      </c>
      <c r="C99" s="9">
        <v>12</v>
      </c>
      <c r="D99" s="9">
        <v>128</v>
      </c>
      <c r="E99" s="9">
        <v>365</v>
      </c>
      <c r="F99" s="9">
        <v>2143943</v>
      </c>
      <c r="G99" s="9" t="s">
        <v>197</v>
      </c>
      <c r="H99" s="10">
        <v>43964</v>
      </c>
      <c r="I99" s="15">
        <f t="shared" si="3"/>
        <v>2.3762376237623763E-2</v>
      </c>
      <c r="J99" s="15">
        <f t="shared" si="4"/>
        <v>0.25346534653465347</v>
      </c>
      <c r="K99" s="18">
        <f t="shared" si="5"/>
        <v>2.3554730699463559E-4</v>
      </c>
      <c r="L99" s="9" t="str" cm="1">
        <f t="array" ref="L99">_xlfn.IFS(I99&gt;5%,"High Risk",AND(I99&gt;2%,I99&lt;5%),"Modrate Risk",I99&lt;2%, "Low Risk")</f>
        <v>Modrate Risk</v>
      </c>
    </row>
    <row r="100" spans="1:12" x14ac:dyDescent="0.25">
      <c r="A100" s="8" t="s">
        <v>102</v>
      </c>
      <c r="B100" s="8">
        <v>1167</v>
      </c>
      <c r="C100" s="8">
        <v>72</v>
      </c>
      <c r="D100" s="8">
        <v>646</v>
      </c>
      <c r="E100" s="8">
        <v>449</v>
      </c>
      <c r="F100" s="8">
        <v>5068618</v>
      </c>
      <c r="G100" s="8" t="s">
        <v>197</v>
      </c>
      <c r="H100" s="1">
        <v>43906</v>
      </c>
      <c r="I100" s="14">
        <f t="shared" si="3"/>
        <v>6.1696658097686374E-2</v>
      </c>
      <c r="J100" s="14">
        <f t="shared" si="4"/>
        <v>0.55355612682090827</v>
      </c>
      <c r="K100" s="17">
        <f t="shared" si="5"/>
        <v>2.3024027456793942E-4</v>
      </c>
      <c r="L100" s="8" t="str" cm="1">
        <f t="array" ref="L100">_xlfn.IFS(I100&gt;5%,"High Risk",AND(I100&gt;2%,I100&lt;5%),"Modrate Risk",I100&lt;2%, "Low Risk")</f>
        <v>High Risk</v>
      </c>
    </row>
    <row r="101" spans="1:12" x14ac:dyDescent="0.25">
      <c r="A101" s="9" t="s">
        <v>103</v>
      </c>
      <c r="B101" s="9">
        <v>2827</v>
      </c>
      <c r="C101" s="9">
        <v>64</v>
      </c>
      <c r="D101" s="9">
        <v>577</v>
      </c>
      <c r="E101" s="9">
        <v>2186</v>
      </c>
      <c r="F101" s="9">
        <v>6880353</v>
      </c>
      <c r="G101" s="9" t="s">
        <v>197</v>
      </c>
      <c r="H101" s="10">
        <v>43914</v>
      </c>
      <c r="I101" s="15">
        <f t="shared" si="3"/>
        <v>2.2638839759462327E-2</v>
      </c>
      <c r="J101" s="15">
        <f t="shared" si="4"/>
        <v>0.20410328970640254</v>
      </c>
      <c r="K101" s="18">
        <f t="shared" si="5"/>
        <v>4.1088008129815432E-4</v>
      </c>
      <c r="L101" s="9" t="str" cm="1">
        <f t="array" ref="L101">_xlfn.IFS(I101&gt;5%,"High Risk",AND(I101&gt;2%,I101&lt;5%),"Modrate Risk",I101&lt;2%, "Low Risk")</f>
        <v>Modrate Risk</v>
      </c>
    </row>
    <row r="102" spans="1:12" x14ac:dyDescent="0.25">
      <c r="A102" s="8" t="s">
        <v>104</v>
      </c>
      <c r="B102" s="8">
        <v>86</v>
      </c>
      <c r="C102" s="8">
        <v>1</v>
      </c>
      <c r="D102" s="8">
        <v>81</v>
      </c>
      <c r="E102" s="8">
        <v>4</v>
      </c>
      <c r="F102" s="8">
        <v>38139</v>
      </c>
      <c r="G102" s="8" t="s">
        <v>196</v>
      </c>
      <c r="H102" s="1">
        <v>43893</v>
      </c>
      <c r="I102" s="14">
        <f t="shared" si="3"/>
        <v>1.1627906976744186E-2</v>
      </c>
      <c r="J102" s="14">
        <f t="shared" si="4"/>
        <v>0.94186046511627908</v>
      </c>
      <c r="K102" s="17">
        <f t="shared" si="5"/>
        <v>2.2549096725136999E-3</v>
      </c>
      <c r="L102" s="8" t="str" cm="1">
        <f t="array" ref="L102">_xlfn.IFS(I102&gt;5%,"High Risk",AND(I102&gt;2%,I102&lt;5%),"Modrate Risk",I102&lt;2%, "Low Risk")</f>
        <v>Low Risk</v>
      </c>
    </row>
    <row r="103" spans="1:12" x14ac:dyDescent="0.25">
      <c r="A103" s="9" t="s">
        <v>105</v>
      </c>
      <c r="B103" s="9">
        <v>2019</v>
      </c>
      <c r="C103" s="9">
        <v>80</v>
      </c>
      <c r="D103" s="9">
        <v>1620</v>
      </c>
      <c r="E103" s="9">
        <v>319</v>
      </c>
      <c r="F103" s="9">
        <v>2718121</v>
      </c>
      <c r="G103" s="9" t="s">
        <v>196</v>
      </c>
      <c r="H103" s="10">
        <v>43889</v>
      </c>
      <c r="I103" s="15">
        <f t="shared" si="3"/>
        <v>3.9623576027736501E-2</v>
      </c>
      <c r="J103" s="15">
        <f t="shared" si="4"/>
        <v>0.80237741456166423</v>
      </c>
      <c r="K103" s="18">
        <f t="shared" si="5"/>
        <v>7.4279253940497862E-4</v>
      </c>
      <c r="L103" s="9" t="str" cm="1">
        <f t="array" ref="L103">_xlfn.IFS(I103&gt;5%,"High Risk",AND(I103&gt;2%,I103&lt;5%),"Modrate Risk",I103&lt;2%, "Low Risk")</f>
        <v>Modrate Risk</v>
      </c>
    </row>
    <row r="104" spans="1:12" x14ac:dyDescent="0.25">
      <c r="A104" s="8" t="s">
        <v>106</v>
      </c>
      <c r="B104" s="8">
        <v>6321</v>
      </c>
      <c r="C104" s="8">
        <v>112</v>
      </c>
      <c r="D104" s="8">
        <v>4825</v>
      </c>
      <c r="E104" s="8">
        <v>1384</v>
      </c>
      <c r="F104" s="8">
        <v>626952</v>
      </c>
      <c r="G104" s="8" t="s">
        <v>196</v>
      </c>
      <c r="H104" s="1">
        <v>43890</v>
      </c>
      <c r="I104" s="14">
        <f t="shared" si="3"/>
        <v>1.7718715393133997E-2</v>
      </c>
      <c r="J104" s="14">
        <f t="shared" si="4"/>
        <v>0.763328587248853</v>
      </c>
      <c r="K104" s="17">
        <f t="shared" si="5"/>
        <v>1.0082111549209509E-2</v>
      </c>
      <c r="L104" s="8" t="str" cm="1">
        <f t="array" ref="L104">_xlfn.IFS(I104&gt;5%,"High Risk",AND(I104&gt;2%,I104&lt;5%),"Modrate Risk",I104&lt;2%, "Low Risk")</f>
        <v>Low Risk</v>
      </c>
    </row>
    <row r="105" spans="1:12" x14ac:dyDescent="0.25">
      <c r="A105" s="9" t="s">
        <v>107</v>
      </c>
      <c r="B105" s="9">
        <v>9690</v>
      </c>
      <c r="C105" s="9">
        <v>91</v>
      </c>
      <c r="D105" s="9">
        <v>6260</v>
      </c>
      <c r="E105" s="9">
        <v>3339</v>
      </c>
      <c r="F105" s="9">
        <v>27755708</v>
      </c>
      <c r="G105" s="9" t="s">
        <v>197</v>
      </c>
      <c r="H105" s="10">
        <v>43910</v>
      </c>
      <c r="I105" s="15">
        <f t="shared" si="3"/>
        <v>9.3911248710010324E-3</v>
      </c>
      <c r="J105" s="15">
        <f t="shared" si="4"/>
        <v>0.6460268317853457</v>
      </c>
      <c r="K105" s="18">
        <f t="shared" si="5"/>
        <v>3.491173779461868E-4</v>
      </c>
      <c r="L105" s="9" t="str" cm="1">
        <f t="array" ref="L105">_xlfn.IFS(I105&gt;5%,"High Risk",AND(I105&gt;2%,I105&lt;5%),"Modrate Risk",I105&lt;2%, "Low Risk")</f>
        <v>Low Risk</v>
      </c>
    </row>
    <row r="106" spans="1:12" x14ac:dyDescent="0.25">
      <c r="A106" s="8" t="s">
        <v>108</v>
      </c>
      <c r="B106" s="8">
        <v>3664</v>
      </c>
      <c r="C106" s="8">
        <v>99</v>
      </c>
      <c r="D106" s="8">
        <v>1645</v>
      </c>
      <c r="E106" s="8">
        <v>1920</v>
      </c>
      <c r="F106" s="8">
        <v>19174839</v>
      </c>
      <c r="G106" s="8" t="s">
        <v>197</v>
      </c>
      <c r="H106" s="1">
        <v>43922</v>
      </c>
      <c r="I106" s="14">
        <f t="shared" si="3"/>
        <v>2.7019650655021835E-2</v>
      </c>
      <c r="J106" s="14">
        <f t="shared" si="4"/>
        <v>0.44896288209606988</v>
      </c>
      <c r="K106" s="17">
        <f t="shared" si="5"/>
        <v>1.910837426066524E-4</v>
      </c>
      <c r="L106" s="8" t="str" cm="1">
        <f t="array" ref="L106">_xlfn.IFS(I106&gt;5%,"High Risk",AND(I106&gt;2%,I106&lt;5%),"Modrate Risk",I106&lt;2%, "Low Risk")</f>
        <v>Modrate Risk</v>
      </c>
    </row>
    <row r="107" spans="1:12" x14ac:dyDescent="0.25">
      <c r="A107" s="9" t="s">
        <v>109</v>
      </c>
      <c r="B107" s="9">
        <v>8904</v>
      </c>
      <c r="C107" s="9">
        <v>124</v>
      </c>
      <c r="D107" s="9">
        <v>8601</v>
      </c>
      <c r="E107" s="9">
        <v>179</v>
      </c>
      <c r="F107" s="9">
        <v>32406372</v>
      </c>
      <c r="G107" s="9" t="s">
        <v>195</v>
      </c>
      <c r="H107" s="10">
        <v>43855</v>
      </c>
      <c r="I107" s="15">
        <f t="shared" si="3"/>
        <v>1.3926325247079964E-2</v>
      </c>
      <c r="J107" s="15">
        <f t="shared" si="4"/>
        <v>0.96597035040431267</v>
      </c>
      <c r="K107" s="18">
        <f t="shared" si="5"/>
        <v>2.7476077852837093E-4</v>
      </c>
      <c r="L107" s="9" t="str" cm="1">
        <f t="array" ref="L107">_xlfn.IFS(I107&gt;5%,"High Risk",AND(I107&gt;2%,I107&lt;5%),"Modrate Risk",I107&lt;2%, "Low Risk")</f>
        <v>Low Risk</v>
      </c>
    </row>
    <row r="108" spans="1:12" x14ac:dyDescent="0.25">
      <c r="A108" s="8" t="s">
        <v>110</v>
      </c>
      <c r="B108" s="8">
        <v>3369</v>
      </c>
      <c r="C108" s="8">
        <v>15</v>
      </c>
      <c r="D108" s="8">
        <v>2547</v>
      </c>
      <c r="E108" s="8">
        <v>807</v>
      </c>
      <c r="F108" s="8">
        <v>541448</v>
      </c>
      <c r="G108" s="8" t="s">
        <v>195</v>
      </c>
      <c r="H108" s="1">
        <v>43897</v>
      </c>
      <c r="I108" s="14">
        <f t="shared" si="3"/>
        <v>4.4523597506678537E-3</v>
      </c>
      <c r="J108" s="14">
        <f t="shared" si="4"/>
        <v>0.75601068566340157</v>
      </c>
      <c r="K108" s="17">
        <f t="shared" si="5"/>
        <v>6.2222041636500643E-3</v>
      </c>
      <c r="L108" s="8" t="str" cm="1">
        <f t="array" ref="L108">_xlfn.IFS(I108&gt;5%,"High Risk",AND(I108&gt;2%,I108&lt;5%),"Modrate Risk",I108&lt;2%, "Low Risk")</f>
        <v>Low Risk</v>
      </c>
    </row>
    <row r="109" spans="1:12" x14ac:dyDescent="0.25">
      <c r="A109" s="9" t="s">
        <v>111</v>
      </c>
      <c r="B109" s="9">
        <v>2513</v>
      </c>
      <c r="C109" s="9">
        <v>124</v>
      </c>
      <c r="D109" s="9">
        <v>1913</v>
      </c>
      <c r="E109" s="9">
        <v>476</v>
      </c>
      <c r="F109" s="9">
        <v>20302901</v>
      </c>
      <c r="G109" s="9" t="s">
        <v>197</v>
      </c>
      <c r="H109" s="10">
        <v>43915</v>
      </c>
      <c r="I109" s="15">
        <f t="shared" si="3"/>
        <v>4.9343414245921209E-2</v>
      </c>
      <c r="J109" s="15">
        <f t="shared" si="4"/>
        <v>0.76124154397134902</v>
      </c>
      <c r="K109" s="18">
        <f t="shared" si="5"/>
        <v>1.2377541514880066E-4</v>
      </c>
      <c r="L109" s="9" t="str" cm="1">
        <f t="array" ref="L109">_xlfn.IFS(I109&gt;5%,"High Risk",AND(I109&gt;2%,I109&lt;5%),"Modrate Risk",I109&lt;2%, "Low Risk")</f>
        <v>Modrate Risk</v>
      </c>
    </row>
    <row r="110" spans="1:12" x14ac:dyDescent="0.25">
      <c r="A110" s="8" t="s">
        <v>112</v>
      </c>
      <c r="B110" s="8">
        <v>701</v>
      </c>
      <c r="C110" s="8">
        <v>9</v>
      </c>
      <c r="D110" s="8">
        <v>665</v>
      </c>
      <c r="E110" s="8">
        <v>27</v>
      </c>
      <c r="F110" s="8">
        <v>441663</v>
      </c>
      <c r="G110" s="8" t="s">
        <v>196</v>
      </c>
      <c r="H110" s="1">
        <v>43897</v>
      </c>
      <c r="I110" s="14">
        <f t="shared" si="3"/>
        <v>1.2838801711840228E-2</v>
      </c>
      <c r="J110" s="14">
        <f t="shared" si="4"/>
        <v>0.94864479315263905</v>
      </c>
      <c r="K110" s="17">
        <f t="shared" si="5"/>
        <v>1.5871829879342395E-3</v>
      </c>
      <c r="L110" s="8" t="str" cm="1">
        <f t="array" ref="L110">_xlfn.IFS(I110&gt;5%,"High Risk",AND(I110&gt;2%,I110&lt;5%),"Modrate Risk",I110&lt;2%, "Low Risk")</f>
        <v>Low Risk</v>
      </c>
    </row>
    <row r="111" spans="1:12" x14ac:dyDescent="0.25">
      <c r="A111" s="9" t="s">
        <v>113</v>
      </c>
      <c r="B111" s="9">
        <v>6208</v>
      </c>
      <c r="C111" s="9">
        <v>156</v>
      </c>
      <c r="D111" s="9">
        <v>4653</v>
      </c>
      <c r="E111" s="9">
        <v>1399</v>
      </c>
      <c r="F111" s="9">
        <v>4660728</v>
      </c>
      <c r="G111" s="9" t="s">
        <v>197</v>
      </c>
      <c r="H111" s="10">
        <v>43903</v>
      </c>
      <c r="I111" s="15">
        <f t="shared" si="3"/>
        <v>2.5128865979381444E-2</v>
      </c>
      <c r="J111" s="15">
        <f t="shared" si="4"/>
        <v>0.74951675257731953</v>
      </c>
      <c r="K111" s="18">
        <f t="shared" si="5"/>
        <v>1.3319807549378553E-3</v>
      </c>
      <c r="L111" s="9" t="str" cm="1">
        <f t="array" ref="L111">_xlfn.IFS(I111&gt;5%,"High Risk",AND(I111&gt;2%,I111&lt;5%),"Modrate Risk",I111&lt;2%, "Low Risk")</f>
        <v>Modrate Risk</v>
      </c>
    </row>
    <row r="112" spans="1:12" x14ac:dyDescent="0.25">
      <c r="A112" s="8" t="s">
        <v>114</v>
      </c>
      <c r="B112" s="8">
        <v>344</v>
      </c>
      <c r="C112" s="8">
        <v>10</v>
      </c>
      <c r="D112" s="8">
        <v>332</v>
      </c>
      <c r="E112" s="8">
        <v>2</v>
      </c>
      <c r="F112" s="8">
        <v>1271985</v>
      </c>
      <c r="G112" s="8" t="s">
        <v>197</v>
      </c>
      <c r="H112" s="1">
        <v>43908</v>
      </c>
      <c r="I112" s="14">
        <f t="shared" si="3"/>
        <v>2.9069767441860465E-2</v>
      </c>
      <c r="J112" s="14">
        <f t="shared" si="4"/>
        <v>0.96511627906976749</v>
      </c>
      <c r="K112" s="17">
        <f t="shared" si="5"/>
        <v>2.7044344076384549E-4</v>
      </c>
      <c r="L112" s="8" t="str" cm="1">
        <f t="array" ref="L112">_xlfn.IFS(I112&gt;5%,"High Risk",AND(I112&gt;2%,I112&lt;5%),"Modrate Risk",I112&lt;2%, "Low Risk")</f>
        <v>Modrate Risk</v>
      </c>
    </row>
    <row r="113" spans="1:12" x14ac:dyDescent="0.25">
      <c r="A113" s="9" t="s">
        <v>115</v>
      </c>
      <c r="B113" s="9">
        <v>395489</v>
      </c>
      <c r="C113" s="9">
        <v>44022</v>
      </c>
      <c r="D113" s="9">
        <v>303810</v>
      </c>
      <c r="E113" s="9">
        <v>47657</v>
      </c>
      <c r="F113" s="9">
        <v>129066160</v>
      </c>
      <c r="G113" s="9" t="s">
        <v>198</v>
      </c>
      <c r="H113" s="10">
        <v>43889</v>
      </c>
      <c r="I113" s="15">
        <f t="shared" si="3"/>
        <v>0.11131030193001576</v>
      </c>
      <c r="J113" s="15">
        <f t="shared" si="4"/>
        <v>0.7681882429094109</v>
      </c>
      <c r="K113" s="18">
        <f t="shared" si="5"/>
        <v>3.0642346529872739E-3</v>
      </c>
      <c r="L113" s="9" t="str" cm="1">
        <f t="array" ref="L113">_xlfn.IFS(I113&gt;5%,"High Risk",AND(I113&gt;2%,I113&lt;5%),"Modrate Risk",I113&lt;2%, "Low Risk")</f>
        <v>High Risk</v>
      </c>
    </row>
    <row r="114" spans="1:12" x14ac:dyDescent="0.25">
      <c r="A114" s="8" t="s">
        <v>116</v>
      </c>
      <c r="B114" s="8">
        <v>23154</v>
      </c>
      <c r="C114" s="8">
        <v>748</v>
      </c>
      <c r="D114" s="8">
        <v>16154</v>
      </c>
      <c r="E114" s="8">
        <v>6252</v>
      </c>
      <c r="F114" s="8">
        <v>4032983</v>
      </c>
      <c r="G114" s="8" t="s">
        <v>196</v>
      </c>
      <c r="H114" s="1">
        <v>43897</v>
      </c>
      <c r="I114" s="14">
        <f t="shared" si="3"/>
        <v>3.2305433186490456E-2</v>
      </c>
      <c r="J114" s="14">
        <f t="shared" si="4"/>
        <v>0.69767642739915348</v>
      </c>
      <c r="K114" s="17">
        <f t="shared" si="5"/>
        <v>5.7411598313208854E-3</v>
      </c>
      <c r="L114" s="8" t="str" cm="1">
        <f t="array" ref="L114">_xlfn.IFS(I114&gt;5%,"High Risk",AND(I114&gt;2%,I114&lt;5%),"Modrate Risk",I114&lt;2%, "Low Risk")</f>
        <v>Modrate Risk</v>
      </c>
    </row>
    <row r="115" spans="1:12" x14ac:dyDescent="0.25">
      <c r="A115" s="9" t="s">
        <v>117</v>
      </c>
      <c r="B115" s="9">
        <v>116</v>
      </c>
      <c r="C115" s="9">
        <v>4</v>
      </c>
      <c r="D115" s="9">
        <v>104</v>
      </c>
      <c r="E115" s="9">
        <v>8</v>
      </c>
      <c r="F115" s="9">
        <v>39270</v>
      </c>
      <c r="G115" s="9" t="s">
        <v>196</v>
      </c>
      <c r="H115" s="10">
        <v>43890</v>
      </c>
      <c r="I115" s="15">
        <f t="shared" si="3"/>
        <v>3.4482758620689655E-2</v>
      </c>
      <c r="J115" s="15">
        <f t="shared" si="4"/>
        <v>0.89655172413793105</v>
      </c>
      <c r="K115" s="18">
        <f t="shared" si="5"/>
        <v>2.9539088362617776E-3</v>
      </c>
      <c r="L115" s="9" t="str" cm="1">
        <f t="array" ref="L115">_xlfn.IFS(I115&gt;5%,"High Risk",AND(I115&gt;2%,I115&lt;5%),"Modrate Risk",I115&lt;2%, "Low Risk")</f>
        <v>Modrate Risk</v>
      </c>
    </row>
    <row r="116" spans="1:12" x14ac:dyDescent="0.25">
      <c r="A116" s="8" t="s">
        <v>118</v>
      </c>
      <c r="B116" s="8">
        <v>289</v>
      </c>
      <c r="C116" s="8">
        <v>0</v>
      </c>
      <c r="D116" s="8">
        <v>222</v>
      </c>
      <c r="E116" s="8">
        <v>67</v>
      </c>
      <c r="F116" s="8">
        <v>3283344</v>
      </c>
      <c r="G116" s="8" t="s">
        <v>195</v>
      </c>
      <c r="H116" s="1">
        <v>43900</v>
      </c>
      <c r="I116" s="14">
        <f t="shared" si="3"/>
        <v>0</v>
      </c>
      <c r="J116" s="14">
        <f t="shared" si="4"/>
        <v>0.76816608996539792</v>
      </c>
      <c r="K116" s="17">
        <f t="shared" si="5"/>
        <v>8.8020018615167948E-5</v>
      </c>
      <c r="L116" s="8" t="str" cm="1">
        <f t="array" ref="L116">_xlfn.IFS(I116&gt;5%,"High Risk",AND(I116&gt;2%,I116&lt;5%),"Modrate Risk",I116&lt;2%, "Low Risk")</f>
        <v>Low Risk</v>
      </c>
    </row>
    <row r="117" spans="1:12" x14ac:dyDescent="0.25">
      <c r="A117" s="9" t="s">
        <v>119</v>
      </c>
      <c r="B117" s="9">
        <v>2893</v>
      </c>
      <c r="C117" s="9">
        <v>45</v>
      </c>
      <c r="D117" s="9">
        <v>809</v>
      </c>
      <c r="E117" s="9">
        <v>2039</v>
      </c>
      <c r="F117" s="9">
        <v>628074</v>
      </c>
      <c r="G117" s="9" t="s">
        <v>196</v>
      </c>
      <c r="H117" s="10">
        <v>43907</v>
      </c>
      <c r="I117" s="15">
        <f t="shared" si="3"/>
        <v>1.5554787417905289E-2</v>
      </c>
      <c r="J117" s="15">
        <f t="shared" si="4"/>
        <v>0.27964051157967507</v>
      </c>
      <c r="K117" s="18">
        <f t="shared" si="5"/>
        <v>4.6061451357642573E-3</v>
      </c>
      <c r="L117" s="9" t="str" cm="1">
        <f t="array" ref="L117">_xlfn.IFS(I117&gt;5%,"High Risk",AND(I117&gt;2%,I117&lt;5%),"Modrate Risk",I117&lt;2%, "Low Risk")</f>
        <v>Low Risk</v>
      </c>
    </row>
    <row r="118" spans="1:12" x14ac:dyDescent="0.25">
      <c r="A118" s="8" t="s">
        <v>120</v>
      </c>
      <c r="B118" s="8">
        <v>20887</v>
      </c>
      <c r="C118" s="8">
        <v>316</v>
      </c>
      <c r="D118" s="8">
        <v>16553</v>
      </c>
      <c r="E118" s="8">
        <v>4018</v>
      </c>
      <c r="F118" s="8">
        <v>36953359</v>
      </c>
      <c r="G118" s="8" t="s">
        <v>197</v>
      </c>
      <c r="H118" s="1">
        <v>43892</v>
      </c>
      <c r="I118" s="14">
        <f t="shared" si="3"/>
        <v>1.5129027624838417E-2</v>
      </c>
      <c r="J118" s="14">
        <f t="shared" si="4"/>
        <v>0.79250251352515921</v>
      </c>
      <c r="K118" s="17">
        <f t="shared" si="5"/>
        <v>5.6522601910153822E-4</v>
      </c>
      <c r="L118" s="8" t="str" cm="1">
        <f t="array" ref="L118">_xlfn.IFS(I118&gt;5%,"High Risk",AND(I118&gt;2%,I118&lt;5%),"Modrate Risk",I118&lt;2%, "Low Risk")</f>
        <v>Low Risk</v>
      </c>
    </row>
    <row r="119" spans="1:12" x14ac:dyDescent="0.25">
      <c r="A119" s="9" t="s">
        <v>121</v>
      </c>
      <c r="B119" s="9">
        <v>1701</v>
      </c>
      <c r="C119" s="9">
        <v>11</v>
      </c>
      <c r="D119" s="9">
        <v>0</v>
      </c>
      <c r="E119" s="9">
        <v>1690</v>
      </c>
      <c r="F119" s="9">
        <v>31333962</v>
      </c>
      <c r="G119" s="9" t="s">
        <v>197</v>
      </c>
      <c r="H119" s="10">
        <v>43912</v>
      </c>
      <c r="I119" s="15">
        <f t="shared" si="3"/>
        <v>6.4667842445620223E-3</v>
      </c>
      <c r="J119" s="15">
        <f t="shared" si="4"/>
        <v>0</v>
      </c>
      <c r="K119" s="18">
        <f t="shared" si="5"/>
        <v>5.4286144854583022E-5</v>
      </c>
      <c r="L119" s="9" t="str" cm="1">
        <f t="array" ref="L119">_xlfn.IFS(I119&gt;5%,"High Risk",AND(I119&gt;2%,I119&lt;5%),"Modrate Risk",I119&lt;2%, "Low Risk")</f>
        <v>Low Risk</v>
      </c>
    </row>
    <row r="120" spans="1:12" x14ac:dyDescent="0.25">
      <c r="A120" s="8" t="s">
        <v>122</v>
      </c>
      <c r="B120" s="8">
        <v>1843</v>
      </c>
      <c r="C120" s="8">
        <v>8</v>
      </c>
      <c r="D120" s="8">
        <v>101</v>
      </c>
      <c r="E120" s="8">
        <v>1734</v>
      </c>
      <c r="F120" s="8">
        <v>2545264</v>
      </c>
      <c r="G120" s="8" t="s">
        <v>197</v>
      </c>
      <c r="H120" s="1">
        <v>43904</v>
      </c>
      <c r="I120" s="14">
        <f t="shared" si="3"/>
        <v>4.3407487791644059E-3</v>
      </c>
      <c r="J120" s="14">
        <f t="shared" si="4"/>
        <v>5.4801953336950621E-2</v>
      </c>
      <c r="K120" s="17">
        <f t="shared" si="5"/>
        <v>7.2408991758811663E-4</v>
      </c>
      <c r="L120" s="8" t="str" cm="1">
        <f t="array" ref="L120">_xlfn.IFS(I120&gt;5%,"High Risk",AND(I120&gt;2%,I120&lt;5%),"Modrate Risk",I120&lt;2%, "Low Risk")</f>
        <v>Low Risk</v>
      </c>
    </row>
    <row r="121" spans="1:12" x14ac:dyDescent="0.25">
      <c r="A121" s="9" t="s">
        <v>123</v>
      </c>
      <c r="B121" s="9">
        <v>18752</v>
      </c>
      <c r="C121" s="9">
        <v>48</v>
      </c>
      <c r="D121" s="9">
        <v>13754</v>
      </c>
      <c r="E121" s="9">
        <v>4950</v>
      </c>
      <c r="F121" s="9">
        <v>29186486</v>
      </c>
      <c r="G121" s="9" t="s">
        <v>195</v>
      </c>
      <c r="H121" s="10">
        <v>43843</v>
      </c>
      <c r="I121" s="15">
        <f t="shared" si="3"/>
        <v>2.5597269624573378E-3</v>
      </c>
      <c r="J121" s="15">
        <f t="shared" si="4"/>
        <v>0.73346843003412965</v>
      </c>
      <c r="K121" s="18">
        <f t="shared" si="5"/>
        <v>6.4248913007204774E-4</v>
      </c>
      <c r="L121" s="9" t="str" cm="1">
        <f t="array" ref="L121">_xlfn.IFS(I121&gt;5%,"High Risk",AND(I121&gt;2%,I121&lt;5%),"Modrate Risk",I121&lt;2%, "Low Risk")</f>
        <v>Low Risk</v>
      </c>
    </row>
    <row r="122" spans="1:12" x14ac:dyDescent="0.25">
      <c r="A122" s="8" t="s">
        <v>124</v>
      </c>
      <c r="B122" s="8">
        <v>53413</v>
      </c>
      <c r="C122" s="8">
        <v>6160</v>
      </c>
      <c r="D122" s="8">
        <v>189</v>
      </c>
      <c r="E122" s="8">
        <v>47064</v>
      </c>
      <c r="F122" s="8">
        <v>17138756</v>
      </c>
      <c r="G122" s="8" t="s">
        <v>196</v>
      </c>
      <c r="H122" s="1">
        <v>43888</v>
      </c>
      <c r="I122" s="14">
        <f t="shared" si="3"/>
        <v>0.11532772920450078</v>
      </c>
      <c r="J122" s="14">
        <f t="shared" si="4"/>
        <v>3.5384644187744555E-3</v>
      </c>
      <c r="K122" s="17">
        <f t="shared" si="5"/>
        <v>3.1165039049508613E-3</v>
      </c>
      <c r="L122" s="8" t="str" cm="1">
        <f t="array" ref="L122">_xlfn.IFS(I122&gt;5%,"High Risk",AND(I122&gt;2%,I122&lt;5%),"Modrate Risk",I122&lt;2%, "Low Risk")</f>
        <v>High Risk</v>
      </c>
    </row>
    <row r="123" spans="1:12" x14ac:dyDescent="0.25">
      <c r="A123" s="9" t="s">
        <v>125</v>
      </c>
      <c r="B123" s="9">
        <v>1557</v>
      </c>
      <c r="C123" s="9">
        <v>22</v>
      </c>
      <c r="D123" s="9">
        <v>1514</v>
      </c>
      <c r="E123" s="9">
        <v>21</v>
      </c>
      <c r="F123" s="9">
        <v>5002100</v>
      </c>
      <c r="G123" s="9" t="s">
        <v>200</v>
      </c>
      <c r="H123" s="10">
        <v>43889</v>
      </c>
      <c r="I123" s="15">
        <f t="shared" si="3"/>
        <v>1.4129736673089274E-2</v>
      </c>
      <c r="J123" s="15">
        <f t="shared" si="4"/>
        <v>0.97238278741168915</v>
      </c>
      <c r="K123" s="18">
        <f t="shared" si="5"/>
        <v>3.112692669078987E-4</v>
      </c>
      <c r="L123" s="9" t="str" cm="1">
        <f t="array" ref="L123">_xlfn.IFS(I123&gt;5%,"High Risk",AND(I123&gt;2%,I123&lt;5%),"Modrate Risk",I123&lt;2%, "Low Risk")</f>
        <v>Low Risk</v>
      </c>
    </row>
    <row r="124" spans="1:12" x14ac:dyDescent="0.25">
      <c r="A124" s="8" t="s">
        <v>126</v>
      </c>
      <c r="B124" s="8">
        <v>3439</v>
      </c>
      <c r="C124" s="8">
        <v>108</v>
      </c>
      <c r="D124" s="8">
        <v>2492</v>
      </c>
      <c r="E124" s="8">
        <v>839</v>
      </c>
      <c r="F124" s="8">
        <v>6632263</v>
      </c>
      <c r="G124" s="8" t="s">
        <v>198</v>
      </c>
      <c r="H124" s="1">
        <v>43908</v>
      </c>
      <c r="I124" s="14">
        <f t="shared" si="3"/>
        <v>3.1404478045943589E-2</v>
      </c>
      <c r="J124" s="14">
        <f t="shared" si="4"/>
        <v>0.72462925268973544</v>
      </c>
      <c r="K124" s="17">
        <f t="shared" si="5"/>
        <v>5.1852587872344626E-4</v>
      </c>
      <c r="L124" s="8" t="str" cm="1">
        <f t="array" ref="L124">_xlfn.IFS(I124&gt;5%,"High Risk",AND(I124&gt;2%,I124&lt;5%),"Modrate Risk",I124&lt;2%, "Low Risk")</f>
        <v>Modrate Risk</v>
      </c>
    </row>
    <row r="125" spans="1:12" x14ac:dyDescent="0.25">
      <c r="A125" s="9" t="s">
        <v>127</v>
      </c>
      <c r="B125" s="9">
        <v>1132</v>
      </c>
      <c r="C125" s="9">
        <v>69</v>
      </c>
      <c r="D125" s="9">
        <v>1027</v>
      </c>
      <c r="E125" s="9">
        <v>36</v>
      </c>
      <c r="F125" s="9">
        <v>24281433</v>
      </c>
      <c r="G125" s="9" t="s">
        <v>197</v>
      </c>
      <c r="H125" s="10">
        <v>43909</v>
      </c>
      <c r="I125" s="15">
        <f t="shared" si="3"/>
        <v>6.0954063604240286E-2</v>
      </c>
      <c r="J125" s="15">
        <f t="shared" si="4"/>
        <v>0.90724381625441697</v>
      </c>
      <c r="K125" s="18">
        <f t="shared" si="5"/>
        <v>4.6619983260460779E-5</v>
      </c>
      <c r="L125" s="9" t="str" cm="1">
        <f t="array" ref="L125">_xlfn.IFS(I125&gt;5%,"High Risk",AND(I125&gt;2%,I125&lt;5%),"Modrate Risk",I125&lt;2%, "Low Risk")</f>
        <v>High Risk</v>
      </c>
    </row>
    <row r="126" spans="1:12" x14ac:dyDescent="0.25">
      <c r="A126" s="8" t="s">
        <v>128</v>
      </c>
      <c r="B126" s="8">
        <v>41180</v>
      </c>
      <c r="C126" s="8">
        <v>860</v>
      </c>
      <c r="D126" s="8">
        <v>18203</v>
      </c>
      <c r="E126" s="8">
        <v>22117</v>
      </c>
      <c r="F126" s="8">
        <v>206606300</v>
      </c>
      <c r="G126" s="8" t="s">
        <v>197</v>
      </c>
      <c r="H126" s="1">
        <v>43888</v>
      </c>
      <c r="I126" s="14">
        <f t="shared" si="3"/>
        <v>2.0883924235065566E-2</v>
      </c>
      <c r="J126" s="14">
        <f t="shared" si="4"/>
        <v>0.44203496843127732</v>
      </c>
      <c r="K126" s="17">
        <f t="shared" si="5"/>
        <v>1.9931628415977636E-4</v>
      </c>
      <c r="L126" s="8" t="str" cm="1">
        <f t="array" ref="L126">_xlfn.IFS(I126&gt;5%,"High Risk",AND(I126&gt;2%,I126&lt;5%),"Modrate Risk",I126&lt;2%, "Low Risk")</f>
        <v>Modrate Risk</v>
      </c>
    </row>
    <row r="127" spans="1:12" x14ac:dyDescent="0.25">
      <c r="A127" s="9" t="s">
        <v>129</v>
      </c>
      <c r="B127" s="9">
        <v>10213</v>
      </c>
      <c r="C127" s="9">
        <v>466</v>
      </c>
      <c r="D127" s="9">
        <v>5564</v>
      </c>
      <c r="E127" s="9">
        <v>4183</v>
      </c>
      <c r="F127" s="9">
        <v>2083365</v>
      </c>
      <c r="G127" s="9" t="s">
        <v>196</v>
      </c>
      <c r="H127" s="10">
        <v>43887</v>
      </c>
      <c r="I127" s="15">
        <f t="shared" si="3"/>
        <v>4.5628121022226575E-2</v>
      </c>
      <c r="J127" s="15">
        <f t="shared" si="4"/>
        <v>0.54479584842847351</v>
      </c>
      <c r="K127" s="18">
        <f t="shared" si="5"/>
        <v>4.9021654870845966E-3</v>
      </c>
      <c r="L127" s="9" t="str" cm="1">
        <f t="array" ref="L127">_xlfn.IFS(I127&gt;5%,"High Risk",AND(I127&gt;2%,I127&lt;5%),"Modrate Risk",I127&lt;2%, "Low Risk")</f>
        <v>Modrate Risk</v>
      </c>
    </row>
    <row r="128" spans="1:12" x14ac:dyDescent="0.25">
      <c r="A128" s="8" t="s">
        <v>130</v>
      </c>
      <c r="B128" s="8">
        <v>9132</v>
      </c>
      <c r="C128" s="8">
        <v>255</v>
      </c>
      <c r="D128" s="8">
        <v>8752</v>
      </c>
      <c r="E128" s="8">
        <v>125</v>
      </c>
      <c r="F128" s="8">
        <v>5425471</v>
      </c>
      <c r="G128" s="8" t="s">
        <v>196</v>
      </c>
      <c r="H128" s="1">
        <v>43887</v>
      </c>
      <c r="I128" s="14">
        <f t="shared" si="3"/>
        <v>2.7923784494086726E-2</v>
      </c>
      <c r="J128" s="14">
        <f t="shared" si="4"/>
        <v>0.95838808585194923</v>
      </c>
      <c r="K128" s="17">
        <f t="shared" si="5"/>
        <v>1.6831718389057834E-3</v>
      </c>
      <c r="L128" s="8" t="str" cm="1">
        <f t="array" ref="L128">_xlfn.IFS(I128&gt;5%,"High Risk",AND(I128&gt;2%,I128&lt;5%),"Modrate Risk",I128&lt;2%, "Low Risk")</f>
        <v>Modrate Risk</v>
      </c>
    </row>
    <row r="129" spans="1:12" x14ac:dyDescent="0.25">
      <c r="A129" s="9" t="s">
        <v>131</v>
      </c>
      <c r="B129" s="9">
        <v>77058</v>
      </c>
      <c r="C129" s="9">
        <v>393</v>
      </c>
      <c r="D129" s="9">
        <v>57028</v>
      </c>
      <c r="E129" s="9">
        <v>19637</v>
      </c>
      <c r="F129" s="9">
        <v>5118446</v>
      </c>
      <c r="G129" s="9" t="s">
        <v>195</v>
      </c>
      <c r="H129" s="10">
        <v>43885</v>
      </c>
      <c r="I129" s="15">
        <f t="shared" si="3"/>
        <v>5.1000545043992833E-3</v>
      </c>
      <c r="J129" s="15">
        <f t="shared" si="4"/>
        <v>0.74006592436865737</v>
      </c>
      <c r="K129" s="18">
        <f t="shared" si="5"/>
        <v>1.5054960040606075E-2</v>
      </c>
      <c r="L129" s="9" t="str" cm="1">
        <f t="array" ref="L129">_xlfn.IFS(I129&gt;5%,"High Risk",AND(I129&gt;2%,I129&lt;5%),"Modrate Risk",I129&lt;2%, "Low Risk")</f>
        <v>Low Risk</v>
      </c>
    </row>
    <row r="130" spans="1:12" x14ac:dyDescent="0.25">
      <c r="A130" s="8" t="s">
        <v>132</v>
      </c>
      <c r="B130" s="8">
        <v>274289</v>
      </c>
      <c r="C130" s="8">
        <v>5842</v>
      </c>
      <c r="D130" s="8">
        <v>241026</v>
      </c>
      <c r="E130" s="8">
        <v>27421</v>
      </c>
      <c r="F130" s="8">
        <v>221295851</v>
      </c>
      <c r="G130" s="8" t="s">
        <v>195</v>
      </c>
      <c r="H130" s="1">
        <v>43887</v>
      </c>
      <c r="I130" s="14">
        <f t="shared" ref="I130:I188" si="6">C130/B130</f>
        <v>2.1298703192618004E-2</v>
      </c>
      <c r="J130" s="14">
        <f t="shared" ref="J130:J188" si="7">D130/B130</f>
        <v>0.8787300985456945</v>
      </c>
      <c r="K130" s="17">
        <f t="shared" ref="K130:K188" si="8">B130/F130</f>
        <v>1.2394674313166406E-3</v>
      </c>
      <c r="L130" s="8" t="str" cm="1">
        <f t="array" ref="L130">_xlfn.IFS(I130&gt;5%,"High Risk",AND(I130&gt;2%,I130&lt;5%),"Modrate Risk",I130&lt;2%, "Low Risk")</f>
        <v>Modrate Risk</v>
      </c>
    </row>
    <row r="131" spans="1:12" x14ac:dyDescent="0.25">
      <c r="A131" s="9" t="s">
        <v>133</v>
      </c>
      <c r="B131" s="9">
        <v>61442</v>
      </c>
      <c r="C131" s="9">
        <v>1322</v>
      </c>
      <c r="D131" s="9">
        <v>35086</v>
      </c>
      <c r="E131" s="9">
        <v>25034</v>
      </c>
      <c r="F131" s="9">
        <v>5112340</v>
      </c>
      <c r="G131" s="9" t="s">
        <v>195</v>
      </c>
      <c r="H131" s="10">
        <v>43899</v>
      </c>
      <c r="I131" s="15">
        <f t="shared" si="6"/>
        <v>2.1516226685329255E-2</v>
      </c>
      <c r="J131" s="15">
        <f t="shared" si="7"/>
        <v>0.57104260929006212</v>
      </c>
      <c r="K131" s="18">
        <f t="shared" si="8"/>
        <v>1.2018371235089998E-2</v>
      </c>
      <c r="L131" s="9" t="str" cm="1">
        <f t="array" ref="L131">_xlfn.IFS(I131&gt;5%,"High Risk",AND(I131&gt;2%,I131&lt;5%),"Modrate Risk",I131&lt;2%, "Low Risk")</f>
        <v>Modrate Risk</v>
      </c>
    </row>
    <row r="132" spans="1:12" x14ac:dyDescent="0.25">
      <c r="A132" s="8" t="s">
        <v>134</v>
      </c>
      <c r="B132" s="8">
        <v>62</v>
      </c>
      <c r="C132" s="8">
        <v>0</v>
      </c>
      <c r="D132" s="8">
        <v>11</v>
      </c>
      <c r="E132" s="8">
        <v>51</v>
      </c>
      <c r="F132" s="8">
        <v>8963009</v>
      </c>
      <c r="G132" s="8" t="s">
        <v>200</v>
      </c>
      <c r="H132" s="1">
        <v>43910</v>
      </c>
      <c r="I132" s="14">
        <f t="shared" si="6"/>
        <v>0</v>
      </c>
      <c r="J132" s="14">
        <f t="shared" si="7"/>
        <v>0.17741935483870969</v>
      </c>
      <c r="K132" s="17">
        <f t="shared" si="8"/>
        <v>6.9173198420307291E-6</v>
      </c>
      <c r="L132" s="8" t="str" cm="1">
        <f t="array" ref="L132">_xlfn.IFS(I132&gt;5%,"High Risk",AND(I132&gt;2%,I132&lt;5%),"Modrate Risk",I132&lt;2%, "Low Risk")</f>
        <v>Low Risk</v>
      </c>
    </row>
    <row r="133" spans="1:12" x14ac:dyDescent="0.25">
      <c r="A133" s="9" t="s">
        <v>135</v>
      </c>
      <c r="B133" s="9">
        <v>4548</v>
      </c>
      <c r="C133" s="9">
        <v>43</v>
      </c>
      <c r="D133" s="9">
        <v>2905</v>
      </c>
      <c r="E133" s="9">
        <v>1600</v>
      </c>
      <c r="F133" s="9">
        <v>7141091</v>
      </c>
      <c r="G133" s="9" t="s">
        <v>199</v>
      </c>
      <c r="H133" s="10">
        <v>43897</v>
      </c>
      <c r="I133" s="15">
        <f t="shared" si="6"/>
        <v>9.4547053649956022E-3</v>
      </c>
      <c r="J133" s="15">
        <f t="shared" si="7"/>
        <v>0.63874230430958667</v>
      </c>
      <c r="K133" s="18">
        <f t="shared" si="8"/>
        <v>6.368774743243014E-4</v>
      </c>
      <c r="L133" s="9" t="str" cm="1">
        <f t="array" ref="L133">_xlfn.IFS(I133&gt;5%,"High Risk",AND(I133&gt;2%,I133&lt;5%),"Modrate Risk",I133&lt;2%, "Low Risk")</f>
        <v>Low Risk</v>
      </c>
    </row>
    <row r="134" spans="1:12" x14ac:dyDescent="0.25">
      <c r="A134" s="8" t="s">
        <v>136</v>
      </c>
      <c r="B134" s="8">
        <v>389717</v>
      </c>
      <c r="C134" s="8">
        <v>18418</v>
      </c>
      <c r="D134" s="8">
        <v>272547</v>
      </c>
      <c r="E134" s="8">
        <v>98752</v>
      </c>
      <c r="F134" s="8">
        <v>33016319</v>
      </c>
      <c r="G134" s="8" t="s">
        <v>199</v>
      </c>
      <c r="H134" s="1">
        <v>43896</v>
      </c>
      <c r="I134" s="14">
        <f t="shared" si="6"/>
        <v>4.7259934773181564E-2</v>
      </c>
      <c r="J134" s="14">
        <f t="shared" si="7"/>
        <v>0.69934593564047753</v>
      </c>
      <c r="K134" s="17">
        <f t="shared" si="8"/>
        <v>1.180376891803111E-2</v>
      </c>
      <c r="L134" s="8" t="str" cm="1">
        <f t="array" ref="L134">_xlfn.IFS(I134&gt;5%,"High Risk",AND(I134&gt;2%,I134&lt;5%),"Modrate Risk",I134&lt;2%, "Low Risk")</f>
        <v>Modrate Risk</v>
      </c>
    </row>
    <row r="135" spans="1:12" x14ac:dyDescent="0.25">
      <c r="A135" s="9" t="s">
        <v>137</v>
      </c>
      <c r="B135" s="9">
        <v>82040</v>
      </c>
      <c r="C135" s="9">
        <v>1945</v>
      </c>
      <c r="D135" s="9">
        <v>26446</v>
      </c>
      <c r="E135" s="9">
        <v>53649</v>
      </c>
      <c r="F135" s="9">
        <v>109722719</v>
      </c>
      <c r="G135" s="9" t="s">
        <v>195</v>
      </c>
      <c r="H135" s="10">
        <v>43860</v>
      </c>
      <c r="I135" s="15">
        <f t="shared" si="6"/>
        <v>2.370794734275963E-2</v>
      </c>
      <c r="J135" s="15">
        <f t="shared" si="7"/>
        <v>0.32235494880546073</v>
      </c>
      <c r="K135" s="18">
        <f t="shared" si="8"/>
        <v>7.4770294381786148E-4</v>
      </c>
      <c r="L135" s="9" t="str" cm="1">
        <f t="array" ref="L135">_xlfn.IFS(I135&gt;5%,"High Risk",AND(I135&gt;2%,I135&lt;5%),"Modrate Risk",I135&lt;2%, "Low Risk")</f>
        <v>Modrate Risk</v>
      </c>
    </row>
    <row r="136" spans="1:12" x14ac:dyDescent="0.25">
      <c r="A136" s="8" t="s">
        <v>138</v>
      </c>
      <c r="B136" s="8">
        <v>43402</v>
      </c>
      <c r="C136" s="8">
        <v>1676</v>
      </c>
      <c r="D136" s="8">
        <v>32856</v>
      </c>
      <c r="E136" s="8">
        <v>8870</v>
      </c>
      <c r="F136" s="8">
        <v>37842302</v>
      </c>
      <c r="G136" s="8" t="s">
        <v>196</v>
      </c>
      <c r="H136" s="1">
        <v>43894</v>
      </c>
      <c r="I136" s="14">
        <f t="shared" si="6"/>
        <v>3.8615731993917331E-2</v>
      </c>
      <c r="J136" s="14">
        <f t="shared" si="7"/>
        <v>0.75701580572323857</v>
      </c>
      <c r="K136" s="17">
        <f t="shared" si="8"/>
        <v>1.1469175421727779E-3</v>
      </c>
      <c r="L136" s="8" t="str" cm="1">
        <f t="array" ref="L136">_xlfn.IFS(I136&gt;5%,"High Risk",AND(I136&gt;2%,I136&lt;5%),"Modrate Risk",I136&lt;2%, "Low Risk")</f>
        <v>Modrate Risk</v>
      </c>
    </row>
    <row r="137" spans="1:12" x14ac:dyDescent="0.25">
      <c r="A137" s="9" t="s">
        <v>139</v>
      </c>
      <c r="B137" s="9">
        <v>50299</v>
      </c>
      <c r="C137" s="9">
        <v>1719</v>
      </c>
      <c r="D137" s="9">
        <v>35375</v>
      </c>
      <c r="E137" s="9">
        <v>13205</v>
      </c>
      <c r="F137" s="9">
        <v>10193593</v>
      </c>
      <c r="G137" s="9" t="s">
        <v>196</v>
      </c>
      <c r="H137" s="10">
        <v>43892</v>
      </c>
      <c r="I137" s="15">
        <f t="shared" si="6"/>
        <v>3.4175629734189548E-2</v>
      </c>
      <c r="J137" s="15">
        <f t="shared" si="7"/>
        <v>0.70329430008548877</v>
      </c>
      <c r="K137" s="18">
        <f t="shared" si="8"/>
        <v>4.9343739739265632E-3</v>
      </c>
      <c r="L137" s="9" t="str" cm="1">
        <f t="array" ref="L137">_xlfn.IFS(I137&gt;5%,"High Risk",AND(I137&gt;2%,I137&lt;5%),"Modrate Risk",I137&lt;2%, "Low Risk")</f>
        <v>Modrate Risk</v>
      </c>
    </row>
    <row r="138" spans="1:12" x14ac:dyDescent="0.25">
      <c r="A138" s="8" t="s">
        <v>140</v>
      </c>
      <c r="B138" s="8">
        <v>109597</v>
      </c>
      <c r="C138" s="8">
        <v>165</v>
      </c>
      <c r="D138" s="8">
        <v>106328</v>
      </c>
      <c r="E138" s="8">
        <v>3104</v>
      </c>
      <c r="F138" s="8">
        <v>2807805</v>
      </c>
      <c r="G138" s="8" t="s">
        <v>195</v>
      </c>
      <c r="H138" s="1">
        <v>43888</v>
      </c>
      <c r="I138" s="14">
        <f t="shared" si="6"/>
        <v>1.5055156619250528E-3</v>
      </c>
      <c r="J138" s="14">
        <f t="shared" si="7"/>
        <v>0.97017254121919394</v>
      </c>
      <c r="K138" s="17">
        <f t="shared" si="8"/>
        <v>3.9032981278970584E-2</v>
      </c>
      <c r="L138" s="8" t="str" cm="1">
        <f t="array" ref="L138">_xlfn.IFS(I138&gt;5%,"High Risk",AND(I138&gt;2%,I138&lt;5%),"Modrate Risk",I138&lt;2%, "Low Risk")</f>
        <v>Low Risk</v>
      </c>
    </row>
    <row r="139" spans="1:12" x14ac:dyDescent="0.25">
      <c r="A139" s="9" t="s">
        <v>141</v>
      </c>
      <c r="B139" s="9">
        <v>45902</v>
      </c>
      <c r="C139" s="9">
        <v>2206</v>
      </c>
      <c r="D139" s="9">
        <v>25794</v>
      </c>
      <c r="E139" s="9">
        <v>17902</v>
      </c>
      <c r="F139" s="9">
        <v>19224023</v>
      </c>
      <c r="G139" s="9" t="s">
        <v>196</v>
      </c>
      <c r="H139" s="10">
        <v>43887</v>
      </c>
      <c r="I139" s="15">
        <f t="shared" si="6"/>
        <v>4.805890810857915E-2</v>
      </c>
      <c r="J139" s="15">
        <f t="shared" si="7"/>
        <v>0.56193629907193587</v>
      </c>
      <c r="K139" s="18">
        <f t="shared" si="8"/>
        <v>2.3877416293145303E-3</v>
      </c>
      <c r="L139" s="9" t="str" cm="1">
        <f t="array" ref="L139">_xlfn.IFS(I139&gt;5%,"High Risk",AND(I139&gt;2%,I139&lt;5%),"Modrate Risk",I139&lt;2%, "Low Risk")</f>
        <v>Modrate Risk</v>
      </c>
    </row>
    <row r="140" spans="1:12" x14ac:dyDescent="0.25">
      <c r="A140" s="8" t="s">
        <v>142</v>
      </c>
      <c r="B140" s="8">
        <v>816680</v>
      </c>
      <c r="C140" s="8">
        <v>13334</v>
      </c>
      <c r="D140" s="8">
        <v>602249</v>
      </c>
      <c r="E140" s="8">
        <v>201097</v>
      </c>
      <c r="F140" s="8">
        <v>145940924</v>
      </c>
      <c r="G140" s="8" t="s">
        <v>196</v>
      </c>
      <c r="H140" s="1">
        <v>43861</v>
      </c>
      <c r="I140" s="14">
        <f t="shared" si="6"/>
        <v>1.6327080374197972E-2</v>
      </c>
      <c r="J140" s="14">
        <f t="shared" si="7"/>
        <v>0.73743571533525987</v>
      </c>
      <c r="K140" s="17">
        <f t="shared" si="8"/>
        <v>5.5959629253820543E-3</v>
      </c>
      <c r="L140" s="8" t="str" cm="1">
        <f t="array" ref="L140">_xlfn.IFS(I140&gt;5%,"High Risk",AND(I140&gt;2%,I140&lt;5%),"Modrate Risk",I140&lt;2%, "Low Risk")</f>
        <v>Low Risk</v>
      </c>
    </row>
    <row r="141" spans="1:12" x14ac:dyDescent="0.25">
      <c r="A141" s="9" t="s">
        <v>143</v>
      </c>
      <c r="B141" s="9">
        <v>1879</v>
      </c>
      <c r="C141" s="9">
        <v>5</v>
      </c>
      <c r="D141" s="9">
        <v>975</v>
      </c>
      <c r="E141" s="9">
        <v>899</v>
      </c>
      <c r="F141" s="9">
        <v>12981546</v>
      </c>
      <c r="G141" s="9" t="s">
        <v>197</v>
      </c>
      <c r="H141" s="10">
        <v>43904</v>
      </c>
      <c r="I141" s="15">
        <f t="shared" si="6"/>
        <v>2.6609898882384245E-3</v>
      </c>
      <c r="J141" s="15">
        <f t="shared" si="7"/>
        <v>0.51889302820649286</v>
      </c>
      <c r="K141" s="18">
        <f t="shared" si="8"/>
        <v>1.4474393111575461E-4</v>
      </c>
      <c r="L141" s="9" t="str" cm="1">
        <f t="array" ref="L141">_xlfn.IFS(I141&gt;5%,"High Risk",AND(I141&gt;2%,I141&lt;5%),"Modrate Risk",I141&lt;2%, "Low Risk")</f>
        <v>Low Risk</v>
      </c>
    </row>
    <row r="142" spans="1:12" x14ac:dyDescent="0.25">
      <c r="A142" s="8" t="s">
        <v>144</v>
      </c>
      <c r="B142" s="8">
        <v>17</v>
      </c>
      <c r="C142" s="8">
        <v>0</v>
      </c>
      <c r="D142" s="8">
        <v>15</v>
      </c>
      <c r="E142" s="8">
        <v>2</v>
      </c>
      <c r="F142" s="8">
        <v>53237</v>
      </c>
      <c r="G142" s="8" t="s">
        <v>198</v>
      </c>
      <c r="H142" s="1">
        <v>43914</v>
      </c>
      <c r="I142" s="14">
        <f t="shared" si="6"/>
        <v>0</v>
      </c>
      <c r="J142" s="14">
        <f t="shared" si="7"/>
        <v>0.88235294117647056</v>
      </c>
      <c r="K142" s="17">
        <f t="shared" si="8"/>
        <v>3.1932678400360654E-4</v>
      </c>
      <c r="L142" s="8" t="str" cm="1">
        <f t="array" ref="L142">_xlfn.IFS(I142&gt;5%,"High Risk",AND(I142&gt;2%,I142&lt;5%),"Modrate Risk",I142&lt;2%, "Low Risk")</f>
        <v>Low Risk</v>
      </c>
    </row>
    <row r="143" spans="1:12" x14ac:dyDescent="0.25">
      <c r="A143" s="9" t="s">
        <v>145</v>
      </c>
      <c r="B143" s="9">
        <v>24</v>
      </c>
      <c r="C143" s="9">
        <v>0</v>
      </c>
      <c r="D143" s="9">
        <v>22</v>
      </c>
      <c r="E143" s="9">
        <v>2</v>
      </c>
      <c r="F143" s="9">
        <v>183712</v>
      </c>
      <c r="G143" s="9" t="s">
        <v>198</v>
      </c>
      <c r="H143" s="10">
        <v>43903</v>
      </c>
      <c r="I143" s="15">
        <f t="shared" si="6"/>
        <v>0</v>
      </c>
      <c r="J143" s="15">
        <f t="shared" si="7"/>
        <v>0.91666666666666663</v>
      </c>
      <c r="K143" s="18">
        <f t="shared" si="8"/>
        <v>1.306392614527086E-4</v>
      </c>
      <c r="L143" s="9" t="str" cm="1">
        <f t="array" ref="L143">_xlfn.IFS(I143&gt;5%,"High Risk",AND(I143&gt;2%,I143&lt;5%),"Modrate Risk",I143&lt;2%, "Low Risk")</f>
        <v>Low Risk</v>
      </c>
    </row>
    <row r="144" spans="1:12" x14ac:dyDescent="0.25">
      <c r="A144" s="8" t="s">
        <v>146</v>
      </c>
      <c r="B144" s="8">
        <v>52</v>
      </c>
      <c r="C144" s="8">
        <v>0</v>
      </c>
      <c r="D144" s="8">
        <v>39</v>
      </c>
      <c r="E144" s="8">
        <v>13</v>
      </c>
      <c r="F144" s="11">
        <v>104000</v>
      </c>
      <c r="G144" s="8" t="s">
        <v>198</v>
      </c>
      <c r="H144" s="1">
        <v>43901</v>
      </c>
      <c r="I144" s="14">
        <f t="shared" si="6"/>
        <v>0</v>
      </c>
      <c r="J144" s="14">
        <f t="shared" si="7"/>
        <v>0.75</v>
      </c>
      <c r="K144" s="17">
        <f t="shared" si="8"/>
        <v>5.0000000000000001E-4</v>
      </c>
      <c r="L144" s="8" t="str" cm="1">
        <f t="array" ref="L144">_xlfn.IFS(I144&gt;5%,"High Risk",AND(I144&gt;2%,I144&lt;5%),"Modrate Risk",I144&lt;2%, "Low Risk")</f>
        <v>Low Risk</v>
      </c>
    </row>
    <row r="145" spans="1:12" x14ac:dyDescent="0.25">
      <c r="A145" s="9" t="s">
        <v>147</v>
      </c>
      <c r="B145" s="9">
        <v>699</v>
      </c>
      <c r="C145" s="9">
        <v>42</v>
      </c>
      <c r="D145" s="9">
        <v>657</v>
      </c>
      <c r="E145" s="9">
        <v>0</v>
      </c>
      <c r="F145" s="9">
        <v>33938</v>
      </c>
      <c r="G145" s="9" t="s">
        <v>196</v>
      </c>
      <c r="H145" s="10">
        <v>43888</v>
      </c>
      <c r="I145" s="15">
        <f t="shared" si="6"/>
        <v>6.0085836909871244E-2</v>
      </c>
      <c r="J145" s="15">
        <f t="shared" si="7"/>
        <v>0.93991416309012876</v>
      </c>
      <c r="K145" s="18">
        <f t="shared" si="8"/>
        <v>2.0596381637102954E-2</v>
      </c>
      <c r="L145" s="9" t="str" cm="1">
        <f t="array" ref="L145">_xlfn.IFS(I145&gt;5%,"High Risk",AND(I145&gt;2%,I145&lt;5%),"Modrate Risk",I145&lt;2%, "Low Risk")</f>
        <v>High Risk</v>
      </c>
    </row>
    <row r="146" spans="1:12" x14ac:dyDescent="0.25">
      <c r="A146" s="8" t="s">
        <v>148</v>
      </c>
      <c r="B146" s="8">
        <v>865</v>
      </c>
      <c r="C146" s="8">
        <v>14</v>
      </c>
      <c r="D146" s="8">
        <v>734</v>
      </c>
      <c r="E146" s="8">
        <v>117</v>
      </c>
      <c r="F146" s="8">
        <v>219544</v>
      </c>
      <c r="G146" s="8" t="s">
        <v>197</v>
      </c>
      <c r="H146" s="1">
        <v>43927</v>
      </c>
      <c r="I146" s="14">
        <f t="shared" si="6"/>
        <v>1.6184971098265895E-2</v>
      </c>
      <c r="J146" s="14">
        <f t="shared" si="7"/>
        <v>0.84855491329479771</v>
      </c>
      <c r="K146" s="17">
        <f t="shared" si="8"/>
        <v>3.9399846955507781E-3</v>
      </c>
      <c r="L146" s="8" t="str" cm="1">
        <f t="array" ref="L146">_xlfn.IFS(I146&gt;5%,"High Risk",AND(I146&gt;2%,I146&lt;5%),"Modrate Risk",I146&lt;2%, "Low Risk")</f>
        <v>Low Risk</v>
      </c>
    </row>
    <row r="147" spans="1:12" x14ac:dyDescent="0.25">
      <c r="A147" s="9" t="s">
        <v>149</v>
      </c>
      <c r="B147" s="9">
        <v>268934</v>
      </c>
      <c r="C147" s="9">
        <v>2760</v>
      </c>
      <c r="D147" s="9">
        <v>222936</v>
      </c>
      <c r="E147" s="9">
        <v>43238</v>
      </c>
      <c r="F147" s="9">
        <v>34865919</v>
      </c>
      <c r="G147" s="9" t="s">
        <v>195</v>
      </c>
      <c r="H147" s="10">
        <v>43892</v>
      </c>
      <c r="I147" s="15">
        <f t="shared" si="6"/>
        <v>1.0262741044271086E-2</v>
      </c>
      <c r="J147" s="15">
        <f t="shared" si="7"/>
        <v>0.8289617526976879</v>
      </c>
      <c r="K147" s="18">
        <f t="shared" si="8"/>
        <v>7.7133776396371484E-3</v>
      </c>
      <c r="L147" s="9" t="str" cm="1">
        <f t="array" ref="L147">_xlfn.IFS(I147&gt;5%,"High Risk",AND(I147&gt;2%,I147&lt;5%),"Modrate Risk",I147&lt;2%, "Low Risk")</f>
        <v>Low Risk</v>
      </c>
    </row>
    <row r="148" spans="1:12" x14ac:dyDescent="0.25">
      <c r="A148" s="8" t="s">
        <v>150</v>
      </c>
      <c r="B148" s="8">
        <v>9764</v>
      </c>
      <c r="C148" s="8">
        <v>194</v>
      </c>
      <c r="D148" s="8">
        <v>6477</v>
      </c>
      <c r="E148" s="8">
        <v>3093</v>
      </c>
      <c r="F148" s="8">
        <v>16783877</v>
      </c>
      <c r="G148" s="8" t="s">
        <v>197</v>
      </c>
      <c r="H148" s="1">
        <v>43892</v>
      </c>
      <c r="I148" s="14">
        <f t="shared" si="6"/>
        <v>1.9868906185989348E-2</v>
      </c>
      <c r="J148" s="14">
        <f t="shared" si="7"/>
        <v>0.66335518230233514</v>
      </c>
      <c r="K148" s="17">
        <f t="shared" si="8"/>
        <v>5.8174878188156404E-4</v>
      </c>
      <c r="L148" s="8" t="str" cm="1">
        <f t="array" ref="L148">_xlfn.IFS(I148&gt;5%,"High Risk",AND(I148&gt;2%,I148&lt;5%),"Modrate Risk",I148&lt;2%, "Low Risk")</f>
        <v>Low Risk</v>
      </c>
    </row>
    <row r="149" spans="1:12" x14ac:dyDescent="0.25">
      <c r="A149" s="9" t="s">
        <v>151</v>
      </c>
      <c r="B149" s="9">
        <v>24141</v>
      </c>
      <c r="C149" s="9">
        <v>543</v>
      </c>
      <c r="D149" s="9">
        <v>0</v>
      </c>
      <c r="E149" s="9">
        <v>23598</v>
      </c>
      <c r="F149" s="9">
        <v>8733665</v>
      </c>
      <c r="G149" s="9" t="s">
        <v>196</v>
      </c>
      <c r="H149" s="10">
        <v>43896</v>
      </c>
      <c r="I149" s="15">
        <f t="shared" si="6"/>
        <v>2.2492854479930408E-2</v>
      </c>
      <c r="J149" s="15">
        <f t="shared" si="7"/>
        <v>0</v>
      </c>
      <c r="K149" s="18">
        <f t="shared" si="8"/>
        <v>2.7641316675187334E-3</v>
      </c>
      <c r="L149" s="9" t="str" cm="1">
        <f t="array" ref="L149">_xlfn.IFS(I149&gt;5%,"High Risk",AND(I149&gt;2%,I149&lt;5%),"Modrate Risk",I149&lt;2%, "Low Risk")</f>
        <v>Modrate Risk</v>
      </c>
    </row>
    <row r="150" spans="1:12" x14ac:dyDescent="0.25">
      <c r="A150" s="8" t="s">
        <v>152</v>
      </c>
      <c r="B150" s="8">
        <v>114</v>
      </c>
      <c r="C150" s="8">
        <v>0</v>
      </c>
      <c r="D150" s="8">
        <v>39</v>
      </c>
      <c r="E150" s="8">
        <v>75</v>
      </c>
      <c r="F150" s="8">
        <v>98408</v>
      </c>
      <c r="G150" s="8" t="s">
        <v>197</v>
      </c>
      <c r="H150" s="1">
        <v>43904</v>
      </c>
      <c r="I150" s="14">
        <f t="shared" si="6"/>
        <v>0</v>
      </c>
      <c r="J150" s="14">
        <f t="shared" si="7"/>
        <v>0.34210526315789475</v>
      </c>
      <c r="K150" s="17">
        <f t="shared" si="8"/>
        <v>1.158442403056662E-3</v>
      </c>
      <c r="L150" s="8" t="str" cm="1">
        <f t="array" ref="L150">_xlfn.IFS(I150&gt;5%,"High Risk",AND(I150&gt;2%,I150&lt;5%),"Modrate Risk",I150&lt;2%, "Low Risk")</f>
        <v>Low Risk</v>
      </c>
    </row>
    <row r="151" spans="1:12" x14ac:dyDescent="0.25">
      <c r="A151" s="9" t="s">
        <v>153</v>
      </c>
      <c r="B151" s="9">
        <v>1783</v>
      </c>
      <c r="C151" s="9">
        <v>66</v>
      </c>
      <c r="D151" s="9">
        <v>1317</v>
      </c>
      <c r="E151" s="9">
        <v>400</v>
      </c>
      <c r="F151" s="9">
        <v>7992169</v>
      </c>
      <c r="G151" s="9" t="s">
        <v>197</v>
      </c>
      <c r="H151" s="10">
        <v>43921</v>
      </c>
      <c r="I151" s="15">
        <f t="shared" si="6"/>
        <v>3.7016264722378012E-2</v>
      </c>
      <c r="J151" s="15">
        <f t="shared" si="7"/>
        <v>0.73864273696017946</v>
      </c>
      <c r="K151" s="18">
        <f t="shared" si="8"/>
        <v>2.230933805328691E-4</v>
      </c>
      <c r="L151" s="9" t="str" cm="1">
        <f t="array" ref="L151">_xlfn.IFS(I151&gt;5%,"High Risk",AND(I151&gt;2%,I151&lt;5%),"Modrate Risk",I151&lt;2%, "Low Risk")</f>
        <v>Modrate Risk</v>
      </c>
    </row>
    <row r="152" spans="1:12" x14ac:dyDescent="0.25">
      <c r="A152" s="8" t="s">
        <v>154</v>
      </c>
      <c r="B152" s="8">
        <v>50838</v>
      </c>
      <c r="C152" s="8">
        <v>27</v>
      </c>
      <c r="D152" s="8">
        <v>45692</v>
      </c>
      <c r="E152" s="8">
        <v>5119</v>
      </c>
      <c r="F152" s="8">
        <v>5854932</v>
      </c>
      <c r="G152" s="8" t="s">
        <v>195</v>
      </c>
      <c r="H152" s="1">
        <v>43853</v>
      </c>
      <c r="I152" s="14">
        <f t="shared" si="6"/>
        <v>5.3109878437389356E-4</v>
      </c>
      <c r="J152" s="14">
        <f t="shared" si="7"/>
        <v>0.89877650576340529</v>
      </c>
      <c r="K152" s="17">
        <f t="shared" si="8"/>
        <v>8.6829360272672688E-3</v>
      </c>
      <c r="L152" s="8" t="str" cm="1">
        <f t="array" ref="L152">_xlfn.IFS(I152&gt;5%,"High Risk",AND(I152&gt;2%,I152&lt;5%),"Modrate Risk",I152&lt;2%, "Low Risk")</f>
        <v>Low Risk</v>
      </c>
    </row>
    <row r="153" spans="1:12" x14ac:dyDescent="0.25">
      <c r="A153" s="9" t="s">
        <v>155</v>
      </c>
      <c r="B153" s="9">
        <v>2181</v>
      </c>
      <c r="C153" s="9">
        <v>28</v>
      </c>
      <c r="D153" s="9">
        <v>1616</v>
      </c>
      <c r="E153" s="9">
        <v>537</v>
      </c>
      <c r="F153" s="9">
        <v>5459915</v>
      </c>
      <c r="G153" s="9" t="s">
        <v>196</v>
      </c>
      <c r="H153" s="10">
        <v>43896</v>
      </c>
      <c r="I153" s="15">
        <f t="shared" si="6"/>
        <v>1.2838147638697846E-2</v>
      </c>
      <c r="J153" s="15">
        <f t="shared" si="7"/>
        <v>0.74094452086198992</v>
      </c>
      <c r="K153" s="18">
        <f t="shared" si="8"/>
        <v>3.994567680998697E-4</v>
      </c>
      <c r="L153" s="9" t="str" cm="1">
        <f t="array" ref="L153">_xlfn.IFS(I153&gt;5%,"High Risk",AND(I153&gt;2%,I153&lt;5%),"Modrate Risk",I153&lt;2%, "Low Risk")</f>
        <v>Low Risk</v>
      </c>
    </row>
    <row r="154" spans="1:12" x14ac:dyDescent="0.25">
      <c r="A154" s="8" t="s">
        <v>156</v>
      </c>
      <c r="B154" s="8">
        <v>2087</v>
      </c>
      <c r="C154" s="8">
        <v>116</v>
      </c>
      <c r="D154" s="8">
        <v>1733</v>
      </c>
      <c r="E154" s="8">
        <v>238</v>
      </c>
      <c r="F154" s="8">
        <v>2078968</v>
      </c>
      <c r="G154" s="8" t="s">
        <v>196</v>
      </c>
      <c r="H154" s="1">
        <v>43894</v>
      </c>
      <c r="I154" s="14">
        <f t="shared" si="6"/>
        <v>5.558217537134643E-2</v>
      </c>
      <c r="J154" s="14">
        <f t="shared" si="7"/>
        <v>0.83037853378054627</v>
      </c>
      <c r="K154" s="17">
        <f t="shared" si="8"/>
        <v>1.0038634553297598E-3</v>
      </c>
      <c r="L154" s="8" t="str" cm="1">
        <f t="array" ref="L154">_xlfn.IFS(I154&gt;5%,"High Risk",AND(I154&gt;2%,I154&lt;5%),"Modrate Risk",I154&lt;2%, "Low Risk")</f>
        <v>High Risk</v>
      </c>
    </row>
    <row r="155" spans="1:12" x14ac:dyDescent="0.25">
      <c r="A155" s="9" t="s">
        <v>157</v>
      </c>
      <c r="B155" s="9">
        <v>3196</v>
      </c>
      <c r="C155" s="9">
        <v>93</v>
      </c>
      <c r="D155" s="9">
        <v>1543</v>
      </c>
      <c r="E155" s="9">
        <v>1560</v>
      </c>
      <c r="F155" s="9">
        <v>15933012</v>
      </c>
      <c r="G155" s="9" t="s">
        <v>197</v>
      </c>
      <c r="H155" s="10">
        <v>43906</v>
      </c>
      <c r="I155" s="15">
        <f t="shared" si="6"/>
        <v>2.9098873591989989E-2</v>
      </c>
      <c r="J155" s="15">
        <f t="shared" si="7"/>
        <v>0.48279098873591991</v>
      </c>
      <c r="K155" s="18">
        <f t="shared" si="8"/>
        <v>2.0058981942648382E-4</v>
      </c>
      <c r="L155" s="9" t="str" cm="1">
        <f t="array" ref="L155">_xlfn.IFS(I155&gt;5%,"High Risk",AND(I155&gt;2%,I155&lt;5%),"Modrate Risk",I155&lt;2%, "Low Risk")</f>
        <v>Modrate Risk</v>
      </c>
    </row>
    <row r="156" spans="1:12" x14ac:dyDescent="0.25">
      <c r="A156" s="8" t="s">
        <v>158</v>
      </c>
      <c r="B156" s="8">
        <v>452529</v>
      </c>
      <c r="C156" s="8">
        <v>7067</v>
      </c>
      <c r="D156" s="8">
        <v>274925</v>
      </c>
      <c r="E156" s="8">
        <v>170537</v>
      </c>
      <c r="F156" s="8">
        <v>59381566</v>
      </c>
      <c r="G156" s="8" t="s">
        <v>197</v>
      </c>
      <c r="H156" s="1">
        <v>43895</v>
      </c>
      <c r="I156" s="14">
        <f t="shared" si="6"/>
        <v>1.5616678710093718E-2</v>
      </c>
      <c r="J156" s="14">
        <f t="shared" si="7"/>
        <v>0.60753012514115112</v>
      </c>
      <c r="K156" s="17">
        <f t="shared" si="8"/>
        <v>7.6206983157028904E-3</v>
      </c>
      <c r="L156" s="8" t="str" cm="1">
        <f t="array" ref="L156">_xlfn.IFS(I156&gt;5%,"High Risk",AND(I156&gt;2%,I156&lt;5%),"Modrate Risk",I156&lt;2%, "Low Risk")</f>
        <v>Low Risk</v>
      </c>
    </row>
    <row r="157" spans="1:12" x14ac:dyDescent="0.25">
      <c r="A157" s="9" t="s">
        <v>159</v>
      </c>
      <c r="B157" s="9">
        <v>14203</v>
      </c>
      <c r="C157" s="9">
        <v>300</v>
      </c>
      <c r="D157" s="9">
        <v>13007</v>
      </c>
      <c r="E157" s="9">
        <v>896</v>
      </c>
      <c r="F157" s="9">
        <v>51273732</v>
      </c>
      <c r="G157" s="9" t="s">
        <v>195</v>
      </c>
      <c r="H157" s="10">
        <v>43850</v>
      </c>
      <c r="I157" s="15">
        <f t="shared" si="6"/>
        <v>2.1122298106033936E-2</v>
      </c>
      <c r="J157" s="15">
        <f t="shared" si="7"/>
        <v>0.91579243821727807</v>
      </c>
      <c r="K157" s="18">
        <f t="shared" si="8"/>
        <v>2.7700343715959667E-4</v>
      </c>
      <c r="L157" s="9" t="str" cm="1">
        <f t="array" ref="L157">_xlfn.IFS(I157&gt;5%,"High Risk",AND(I157&gt;2%,I157&lt;5%),"Modrate Risk",I157&lt;2%, "Low Risk")</f>
        <v>Modrate Risk</v>
      </c>
    </row>
    <row r="158" spans="1:12" x14ac:dyDescent="0.25">
      <c r="A158" s="8" t="s">
        <v>160</v>
      </c>
      <c r="B158" s="8">
        <v>2305</v>
      </c>
      <c r="C158" s="8">
        <v>46</v>
      </c>
      <c r="D158" s="8">
        <v>1175</v>
      </c>
      <c r="E158" s="8">
        <v>1084</v>
      </c>
      <c r="F158" s="8">
        <v>11206572</v>
      </c>
      <c r="G158" s="8" t="s">
        <v>197</v>
      </c>
      <c r="H158" s="1">
        <v>43926</v>
      </c>
      <c r="I158" s="14">
        <f t="shared" si="6"/>
        <v>1.9956616052060738E-2</v>
      </c>
      <c r="J158" s="14">
        <f t="shared" si="7"/>
        <v>0.50976138828633411</v>
      </c>
      <c r="K158" s="17">
        <f t="shared" si="8"/>
        <v>2.0568287965311784E-4</v>
      </c>
      <c r="L158" s="8" t="str" cm="1">
        <f t="array" ref="L158">_xlfn.IFS(I158&gt;5%,"High Risk",AND(I158&gt;2%,I158&lt;5%),"Modrate Risk",I158&lt;2%, "Low Risk")</f>
        <v>Low Risk</v>
      </c>
    </row>
    <row r="159" spans="1:12" x14ac:dyDescent="0.25">
      <c r="A159" s="9" t="s">
        <v>161</v>
      </c>
      <c r="B159" s="9">
        <v>272421</v>
      </c>
      <c r="C159" s="9">
        <v>28432</v>
      </c>
      <c r="D159" s="9">
        <v>150376</v>
      </c>
      <c r="E159" s="9">
        <v>93613</v>
      </c>
      <c r="F159" s="9">
        <v>46756648</v>
      </c>
      <c r="G159" s="9" t="s">
        <v>196</v>
      </c>
      <c r="H159" s="10">
        <v>43861</v>
      </c>
      <c r="I159" s="15">
        <f t="shared" si="6"/>
        <v>0.10436787178668311</v>
      </c>
      <c r="J159" s="15">
        <f t="shared" si="7"/>
        <v>0.55199856105072664</v>
      </c>
      <c r="K159" s="18">
        <f t="shared" si="8"/>
        <v>5.8263586388827534E-3</v>
      </c>
      <c r="L159" s="9" t="str" cm="1">
        <f t="array" ref="L159">_xlfn.IFS(I159&gt;5%,"High Risk",AND(I159&gt;2%,I159&lt;5%),"Modrate Risk",I159&lt;2%, "Low Risk")</f>
        <v>High Risk</v>
      </c>
    </row>
    <row r="160" spans="1:12" x14ac:dyDescent="0.25">
      <c r="A160" s="8" t="s">
        <v>162</v>
      </c>
      <c r="B160" s="8">
        <v>2805</v>
      </c>
      <c r="C160" s="8">
        <v>11</v>
      </c>
      <c r="D160" s="8">
        <v>2121</v>
      </c>
      <c r="E160" s="8">
        <v>673</v>
      </c>
      <c r="F160" s="8">
        <v>21422362</v>
      </c>
      <c r="G160" s="8" t="s">
        <v>195</v>
      </c>
      <c r="H160" s="1">
        <v>43857</v>
      </c>
      <c r="I160" s="14">
        <f t="shared" si="6"/>
        <v>3.9215686274509803E-3</v>
      </c>
      <c r="J160" s="14">
        <f t="shared" si="7"/>
        <v>0.75614973262032081</v>
      </c>
      <c r="K160" s="17">
        <f t="shared" si="8"/>
        <v>1.3093794232400704E-4</v>
      </c>
      <c r="L160" s="8" t="str" cm="1">
        <f t="array" ref="L160">_xlfn.IFS(I160&gt;5%,"High Risk",AND(I160&gt;2%,I160&lt;5%),"Modrate Risk",I160&lt;2%, "Low Risk")</f>
        <v>Low Risk</v>
      </c>
    </row>
    <row r="161" spans="1:12" x14ac:dyDescent="0.25">
      <c r="A161" s="9" t="s">
        <v>163</v>
      </c>
      <c r="B161" s="9">
        <v>11424</v>
      </c>
      <c r="C161" s="9">
        <v>720</v>
      </c>
      <c r="D161" s="9">
        <v>5939</v>
      </c>
      <c r="E161" s="9">
        <v>4765</v>
      </c>
      <c r="F161" s="9">
        <v>43943536</v>
      </c>
      <c r="G161" s="9" t="s">
        <v>197</v>
      </c>
      <c r="H161" s="10">
        <v>43903</v>
      </c>
      <c r="I161" s="15">
        <f t="shared" si="6"/>
        <v>6.3025210084033612E-2</v>
      </c>
      <c r="J161" s="15">
        <f t="shared" si="7"/>
        <v>0.51987044817927175</v>
      </c>
      <c r="K161" s="18">
        <f t="shared" si="8"/>
        <v>2.5996997601649536E-4</v>
      </c>
      <c r="L161" s="9" t="str" cm="1">
        <f t="array" ref="L161">_xlfn.IFS(I161&gt;5%,"High Risk",AND(I161&gt;2%,I161&lt;5%),"Modrate Risk",I161&lt;2%, "Low Risk")</f>
        <v>High Risk</v>
      </c>
    </row>
    <row r="162" spans="1:12" x14ac:dyDescent="0.25">
      <c r="A162" s="8" t="s">
        <v>164</v>
      </c>
      <c r="B162" s="8">
        <v>1483</v>
      </c>
      <c r="C162" s="8">
        <v>24</v>
      </c>
      <c r="D162" s="8">
        <v>925</v>
      </c>
      <c r="E162" s="8">
        <v>534</v>
      </c>
      <c r="F162" s="8">
        <v>587154</v>
      </c>
      <c r="G162" s="8" t="s">
        <v>199</v>
      </c>
      <c r="H162" s="1">
        <v>43903</v>
      </c>
      <c r="I162" s="14">
        <f t="shared" si="6"/>
        <v>1.6183412002697236E-2</v>
      </c>
      <c r="J162" s="14">
        <f t="shared" si="7"/>
        <v>0.62373567093728932</v>
      </c>
      <c r="K162" s="17">
        <f t="shared" si="8"/>
        <v>2.5257428204525558E-3</v>
      </c>
      <c r="L162" s="8" t="str" cm="1">
        <f t="array" ref="L162">_xlfn.IFS(I162&gt;5%,"High Risk",AND(I162&gt;2%,I162&lt;5%),"Modrate Risk",I162&lt;2%, "Low Risk")</f>
        <v>Low Risk</v>
      </c>
    </row>
    <row r="163" spans="1:12" x14ac:dyDescent="0.25">
      <c r="A163" s="9" t="s">
        <v>165</v>
      </c>
      <c r="B163" s="9">
        <v>79395</v>
      </c>
      <c r="C163" s="9">
        <v>5700</v>
      </c>
      <c r="D163" s="9">
        <v>0</v>
      </c>
      <c r="E163" s="9">
        <v>73695</v>
      </c>
      <c r="F163" s="9">
        <v>10105596</v>
      </c>
      <c r="G163" s="9" t="s">
        <v>196</v>
      </c>
      <c r="H163" s="10">
        <v>43861</v>
      </c>
      <c r="I163" s="15">
        <f t="shared" si="6"/>
        <v>7.1792934063857922E-2</v>
      </c>
      <c r="J163" s="15">
        <f t="shared" si="7"/>
        <v>0</v>
      </c>
      <c r="K163" s="18">
        <f t="shared" si="8"/>
        <v>7.8565381002763217E-3</v>
      </c>
      <c r="L163" s="9" t="str" cm="1">
        <f t="array" ref="L163">_xlfn.IFS(I163&gt;5%,"High Risk",AND(I163&gt;2%,I163&lt;5%),"Modrate Risk",I163&lt;2%, "Low Risk")</f>
        <v>High Risk</v>
      </c>
    </row>
    <row r="164" spans="1:12" x14ac:dyDescent="0.25">
      <c r="A164" s="8" t="s">
        <v>166</v>
      </c>
      <c r="B164" s="8">
        <v>34477</v>
      </c>
      <c r="C164" s="8">
        <v>1978</v>
      </c>
      <c r="D164" s="8">
        <v>30900</v>
      </c>
      <c r="E164" s="8">
        <v>1599</v>
      </c>
      <c r="F164" s="8">
        <v>8660952</v>
      </c>
      <c r="G164" s="8" t="s">
        <v>196</v>
      </c>
      <c r="H164" s="1">
        <v>43886</v>
      </c>
      <c r="I164" s="14">
        <f t="shared" si="6"/>
        <v>5.7371581054036024E-2</v>
      </c>
      <c r="J164" s="14">
        <f t="shared" si="7"/>
        <v>0.89624967369550712</v>
      </c>
      <c r="K164" s="17">
        <f t="shared" si="8"/>
        <v>3.9807402234765879E-3</v>
      </c>
      <c r="L164" s="8" t="str" cm="1">
        <f t="array" ref="L164">_xlfn.IFS(I164&gt;5%,"High Risk",AND(I164&gt;2%,I164&lt;5%),"Modrate Risk",I164&lt;2%, "Low Risk")</f>
        <v>High Risk</v>
      </c>
    </row>
    <row r="165" spans="1:12" x14ac:dyDescent="0.25">
      <c r="A165" s="9" t="s">
        <v>167</v>
      </c>
      <c r="B165" s="9">
        <v>674</v>
      </c>
      <c r="C165" s="9">
        <v>40</v>
      </c>
      <c r="D165" s="9">
        <v>0</v>
      </c>
      <c r="E165" s="9">
        <v>634</v>
      </c>
      <c r="F165" s="9">
        <v>17539600</v>
      </c>
      <c r="G165" s="9" t="s">
        <v>195</v>
      </c>
      <c r="H165" s="10">
        <v>43912</v>
      </c>
      <c r="I165" s="15">
        <f t="shared" si="6"/>
        <v>5.9347181008902079E-2</v>
      </c>
      <c r="J165" s="15">
        <f t="shared" si="7"/>
        <v>0</v>
      </c>
      <c r="K165" s="18">
        <f t="shared" si="8"/>
        <v>3.8427330155761816E-5</v>
      </c>
      <c r="L165" s="9" t="str" cm="1">
        <f t="array" ref="L165">_xlfn.IFS(I165&gt;5%,"High Risk",AND(I165&gt;2%,I165&lt;5%),"Modrate Risk",I165&lt;2%, "Low Risk")</f>
        <v>High Risk</v>
      </c>
    </row>
    <row r="166" spans="1:12" x14ac:dyDescent="0.25">
      <c r="A166" s="8" t="s">
        <v>190</v>
      </c>
      <c r="B166" s="8">
        <v>462</v>
      </c>
      <c r="C166" s="8">
        <v>7</v>
      </c>
      <c r="D166" s="8">
        <v>440</v>
      </c>
      <c r="E166" s="8">
        <v>15</v>
      </c>
      <c r="F166" s="8">
        <v>23821199</v>
      </c>
      <c r="G166" s="8" t="s">
        <v>195</v>
      </c>
      <c r="H166" s="1">
        <v>43851</v>
      </c>
      <c r="I166" s="14">
        <f t="shared" si="6"/>
        <v>1.5151515151515152E-2</v>
      </c>
      <c r="J166" s="14">
        <f t="shared" si="7"/>
        <v>0.95238095238095233</v>
      </c>
      <c r="K166" s="17">
        <f t="shared" si="8"/>
        <v>1.9394489756791838E-5</v>
      </c>
      <c r="L166" s="8" t="str" cm="1">
        <f t="array" ref="L166">_xlfn.IFS(I166&gt;5%,"High Risk",AND(I166&gt;2%,I166&lt;5%),"Modrate Risk",I166&lt;2%, "Low Risk")</f>
        <v>Low Risk</v>
      </c>
    </row>
    <row r="167" spans="1:12" x14ac:dyDescent="0.25">
      <c r="A167" s="9" t="s">
        <v>168</v>
      </c>
      <c r="B167" s="9">
        <v>7235</v>
      </c>
      <c r="C167" s="9">
        <v>60</v>
      </c>
      <c r="D167" s="9">
        <v>6028</v>
      </c>
      <c r="E167" s="9">
        <v>1147</v>
      </c>
      <c r="F167" s="9">
        <v>9557468</v>
      </c>
      <c r="G167" s="9" t="s">
        <v>195</v>
      </c>
      <c r="H167" s="10">
        <v>43951</v>
      </c>
      <c r="I167" s="15">
        <f t="shared" si="6"/>
        <v>8.2930200414651004E-3</v>
      </c>
      <c r="J167" s="15">
        <f t="shared" si="7"/>
        <v>0.83317208016586042</v>
      </c>
      <c r="K167" s="18">
        <f t="shared" si="8"/>
        <v>7.569996572313922E-4</v>
      </c>
      <c r="L167" s="9" t="str" cm="1">
        <f t="array" ref="L167">_xlfn.IFS(I167&gt;5%,"High Risk",AND(I167&gt;2%,I167&lt;5%),"Modrate Risk",I167&lt;2%, "Low Risk")</f>
        <v>Low Risk</v>
      </c>
    </row>
    <row r="168" spans="1:12" x14ac:dyDescent="0.25">
      <c r="A168" s="8" t="s">
        <v>169</v>
      </c>
      <c r="B168" s="8">
        <v>509</v>
      </c>
      <c r="C168" s="8">
        <v>21</v>
      </c>
      <c r="D168" s="8">
        <v>183</v>
      </c>
      <c r="E168" s="8">
        <v>305</v>
      </c>
      <c r="F168" s="8">
        <v>59886383</v>
      </c>
      <c r="G168" s="8" t="s">
        <v>197</v>
      </c>
      <c r="H168" s="1">
        <v>43906</v>
      </c>
      <c r="I168" s="14">
        <f t="shared" si="6"/>
        <v>4.1257367387033402E-2</v>
      </c>
      <c r="J168" s="14">
        <f t="shared" si="7"/>
        <v>0.35952848722986247</v>
      </c>
      <c r="K168" s="17">
        <f t="shared" si="8"/>
        <v>8.4994279918358071E-6</v>
      </c>
      <c r="L168" s="8" t="str" cm="1">
        <f t="array" ref="L168">_xlfn.IFS(I168&gt;5%,"High Risk",AND(I168&gt;2%,I168&lt;5%),"Modrate Risk",I168&lt;2%, "Low Risk")</f>
        <v>Modrate Risk</v>
      </c>
    </row>
    <row r="169" spans="1:12" x14ac:dyDescent="0.25">
      <c r="A169" s="9" t="s">
        <v>170</v>
      </c>
      <c r="B169" s="9">
        <v>3297</v>
      </c>
      <c r="C169" s="9">
        <v>58</v>
      </c>
      <c r="D169" s="9">
        <v>3111</v>
      </c>
      <c r="E169" s="9">
        <v>128</v>
      </c>
      <c r="F169" s="9">
        <v>69817894</v>
      </c>
      <c r="G169" s="9" t="s">
        <v>195</v>
      </c>
      <c r="H169" s="10">
        <v>43843</v>
      </c>
      <c r="I169" s="15">
        <f t="shared" si="6"/>
        <v>1.7591750075826508E-2</v>
      </c>
      <c r="J169" s="15">
        <f t="shared" si="7"/>
        <v>0.94358507734303909</v>
      </c>
      <c r="K169" s="18">
        <f t="shared" si="8"/>
        <v>4.7222850921283877E-5</v>
      </c>
      <c r="L169" s="9" t="str" cm="1">
        <f t="array" ref="L169">_xlfn.IFS(I169&gt;5%,"High Risk",AND(I169&gt;2%,I169&lt;5%),"Modrate Risk",I169&lt;2%, "Low Risk")</f>
        <v>Low Risk</v>
      </c>
    </row>
    <row r="170" spans="1:12" x14ac:dyDescent="0.25">
      <c r="A170" s="8" t="s">
        <v>171</v>
      </c>
      <c r="B170" s="8">
        <v>24</v>
      </c>
      <c r="C170" s="8">
        <v>0</v>
      </c>
      <c r="D170" s="8">
        <v>0</v>
      </c>
      <c r="E170" s="8">
        <v>24</v>
      </c>
      <c r="F170" s="8">
        <v>1320812</v>
      </c>
      <c r="G170" s="8" t="s">
        <v>195</v>
      </c>
      <c r="H170" s="1">
        <v>43911</v>
      </c>
      <c r="I170" s="14">
        <f t="shared" si="6"/>
        <v>0</v>
      </c>
      <c r="J170" s="14">
        <f t="shared" si="7"/>
        <v>0</v>
      </c>
      <c r="K170" s="17">
        <f t="shared" si="8"/>
        <v>1.8170640484792688E-5</v>
      </c>
      <c r="L170" s="8" t="str" cm="1">
        <f t="array" ref="L170">_xlfn.IFS(I170&gt;5%,"High Risk",AND(I170&gt;2%,I170&lt;5%),"Modrate Risk",I170&lt;2%, "Low Risk")</f>
        <v>Low Risk</v>
      </c>
    </row>
    <row r="171" spans="1:12" x14ac:dyDescent="0.25">
      <c r="A171" s="9" t="s">
        <v>172</v>
      </c>
      <c r="B171" s="9">
        <v>874</v>
      </c>
      <c r="C171" s="9">
        <v>18</v>
      </c>
      <c r="D171" s="9">
        <v>607</v>
      </c>
      <c r="E171" s="9">
        <v>249</v>
      </c>
      <c r="F171" s="9">
        <v>8296582</v>
      </c>
      <c r="G171" s="9" t="s">
        <v>197</v>
      </c>
      <c r="H171" s="10">
        <v>43896</v>
      </c>
      <c r="I171" s="15">
        <f t="shared" si="6"/>
        <v>2.0594965675057208E-2</v>
      </c>
      <c r="J171" s="15">
        <f t="shared" si="7"/>
        <v>0.69450800915331812</v>
      </c>
      <c r="K171" s="18">
        <f t="shared" si="8"/>
        <v>1.0534458648151732E-4</v>
      </c>
      <c r="L171" s="9" t="str" cm="1">
        <f t="array" ref="L171">_xlfn.IFS(I171&gt;5%,"High Risk",AND(I171&gt;2%,I171&lt;5%),"Modrate Risk",I171&lt;2%, "Low Risk")</f>
        <v>Modrate Risk</v>
      </c>
    </row>
    <row r="172" spans="1:12" x14ac:dyDescent="0.25">
      <c r="A172" s="8" t="s">
        <v>173</v>
      </c>
      <c r="B172" s="8">
        <v>148</v>
      </c>
      <c r="C172" s="8">
        <v>8</v>
      </c>
      <c r="D172" s="8">
        <v>128</v>
      </c>
      <c r="E172" s="8">
        <v>12</v>
      </c>
      <c r="F172" s="8">
        <v>1399950</v>
      </c>
      <c r="G172" s="8" t="s">
        <v>198</v>
      </c>
      <c r="H172" s="1">
        <v>43902</v>
      </c>
      <c r="I172" s="14">
        <f t="shared" si="6"/>
        <v>5.4054054054054057E-2</v>
      </c>
      <c r="J172" s="14">
        <f t="shared" si="7"/>
        <v>0.86486486486486491</v>
      </c>
      <c r="K172" s="17">
        <f t="shared" si="8"/>
        <v>1.0571806135933426E-4</v>
      </c>
      <c r="L172" s="8" t="str" cm="1">
        <f t="array" ref="L172">_xlfn.IFS(I172&gt;5%,"High Risk",AND(I172&gt;2%,I172&lt;5%),"Modrate Risk",I172&lt;2%, "Low Risk")</f>
        <v>High Risk</v>
      </c>
    </row>
    <row r="173" spans="1:12" x14ac:dyDescent="0.25">
      <c r="A173" s="9" t="s">
        <v>174</v>
      </c>
      <c r="B173" s="9">
        <v>1455</v>
      </c>
      <c r="C173" s="9">
        <v>50</v>
      </c>
      <c r="D173" s="9">
        <v>1157</v>
      </c>
      <c r="E173" s="9">
        <v>248</v>
      </c>
      <c r="F173" s="9">
        <v>11830801</v>
      </c>
      <c r="G173" s="9" t="s">
        <v>197</v>
      </c>
      <c r="H173" s="10">
        <v>43892</v>
      </c>
      <c r="I173" s="15">
        <f t="shared" si="6"/>
        <v>3.4364261168384883E-2</v>
      </c>
      <c r="J173" s="15">
        <f t="shared" si="7"/>
        <v>0.79518900343642607</v>
      </c>
      <c r="K173" s="18">
        <f t="shared" si="8"/>
        <v>1.2298406506879795E-4</v>
      </c>
      <c r="L173" s="9" t="str" cm="1">
        <f t="array" ref="L173">_xlfn.IFS(I173&gt;5%,"High Risk",AND(I173&gt;2%,I173&lt;5%),"Modrate Risk",I173&lt;2%, "Low Risk")</f>
        <v>Modrate Risk</v>
      </c>
    </row>
    <row r="174" spans="1:12" x14ac:dyDescent="0.25">
      <c r="A174" s="8" t="s">
        <v>175</v>
      </c>
      <c r="B174" s="8">
        <v>227019</v>
      </c>
      <c r="C174" s="8">
        <v>5630</v>
      </c>
      <c r="D174" s="8">
        <v>210469</v>
      </c>
      <c r="E174" s="8">
        <v>10920</v>
      </c>
      <c r="F174" s="8">
        <v>84428331</v>
      </c>
      <c r="G174" s="8" t="s">
        <v>195</v>
      </c>
      <c r="H174" s="1">
        <v>43901</v>
      </c>
      <c r="I174" s="14">
        <f t="shared" si="6"/>
        <v>2.4799686369863315E-2</v>
      </c>
      <c r="J174" s="14">
        <f t="shared" si="7"/>
        <v>0.92709861289143203</v>
      </c>
      <c r="K174" s="17">
        <f t="shared" si="8"/>
        <v>2.6888959820844972E-3</v>
      </c>
      <c r="L174" s="8" t="str" cm="1">
        <f t="array" ref="L174">_xlfn.IFS(I174&gt;5%,"High Risk",AND(I174&gt;2%,I174&lt;5%),"Modrate Risk",I174&lt;2%, "Low Risk")</f>
        <v>Modrate Risk</v>
      </c>
    </row>
    <row r="175" spans="1:12" x14ac:dyDescent="0.25">
      <c r="A175" s="9" t="s">
        <v>176</v>
      </c>
      <c r="B175" s="9">
        <v>4290259</v>
      </c>
      <c r="C175" s="9">
        <v>148011</v>
      </c>
      <c r="D175" s="9">
        <v>1325804</v>
      </c>
      <c r="E175" s="9">
        <v>2816444</v>
      </c>
      <c r="F175" s="9">
        <v>331198130</v>
      </c>
      <c r="G175" s="9" t="s">
        <v>198</v>
      </c>
      <c r="H175" s="10">
        <v>43851</v>
      </c>
      <c r="I175" s="15">
        <f t="shared" si="6"/>
        <v>3.4499315775574385E-2</v>
      </c>
      <c r="J175" s="15">
        <f t="shared" si="7"/>
        <v>0.30902656459668287</v>
      </c>
      <c r="K175" s="18">
        <f t="shared" si="8"/>
        <v>1.2953753694201112E-2</v>
      </c>
      <c r="L175" s="9" t="str" cm="1">
        <f t="array" ref="L175">_xlfn.IFS(I175&gt;5%,"High Risk",AND(I175&gt;2%,I175&lt;5%),"Modrate Risk",I175&lt;2%, "Low Risk")</f>
        <v>Modrate Risk</v>
      </c>
    </row>
    <row r="176" spans="1:12" x14ac:dyDescent="0.25">
      <c r="A176" s="8" t="s">
        <v>177</v>
      </c>
      <c r="B176" s="8">
        <v>1128</v>
      </c>
      <c r="C176" s="8">
        <v>2</v>
      </c>
      <c r="D176" s="8">
        <v>986</v>
      </c>
      <c r="E176" s="8">
        <v>140</v>
      </c>
      <c r="F176" s="8">
        <v>45867852</v>
      </c>
      <c r="G176" s="8" t="s">
        <v>197</v>
      </c>
      <c r="H176" s="1">
        <v>43912</v>
      </c>
      <c r="I176" s="14">
        <f t="shared" si="6"/>
        <v>1.7730496453900709E-3</v>
      </c>
      <c r="J176" s="14">
        <f t="shared" si="7"/>
        <v>0.87411347517730498</v>
      </c>
      <c r="K176" s="17">
        <f t="shared" si="8"/>
        <v>2.4592387714166339E-5</v>
      </c>
      <c r="L176" s="8" t="str" cm="1">
        <f t="array" ref="L176">_xlfn.IFS(I176&gt;5%,"High Risk",AND(I176&gt;2%,I176&lt;5%),"Modrate Risk",I176&lt;2%, "Low Risk")</f>
        <v>Low Risk</v>
      </c>
    </row>
    <row r="177" spans="1:12" x14ac:dyDescent="0.25">
      <c r="A177" s="9" t="s">
        <v>178</v>
      </c>
      <c r="B177" s="9">
        <v>67096</v>
      </c>
      <c r="C177" s="9">
        <v>1636</v>
      </c>
      <c r="D177" s="9">
        <v>37202</v>
      </c>
      <c r="E177" s="9">
        <v>28258</v>
      </c>
      <c r="F177" s="9">
        <v>43705858</v>
      </c>
      <c r="G177" s="9" t="s">
        <v>196</v>
      </c>
      <c r="H177" s="10">
        <v>43893</v>
      </c>
      <c r="I177" s="15">
        <f t="shared" si="6"/>
        <v>2.4382973649695959E-2</v>
      </c>
      <c r="J177" s="15">
        <f t="shared" si="7"/>
        <v>0.55445928222248719</v>
      </c>
      <c r="K177" s="18">
        <f t="shared" si="8"/>
        <v>1.5351717840661086E-3</v>
      </c>
      <c r="L177" s="9" t="str" cm="1">
        <f t="array" ref="L177">_xlfn.IFS(I177&gt;5%,"High Risk",AND(I177&gt;2%,I177&lt;5%),"Modrate Risk",I177&lt;2%, "Low Risk")</f>
        <v>Modrate Risk</v>
      </c>
    </row>
    <row r="178" spans="1:12" x14ac:dyDescent="0.25">
      <c r="A178" s="8" t="s">
        <v>179</v>
      </c>
      <c r="B178" s="8">
        <v>59177</v>
      </c>
      <c r="C178" s="8">
        <v>345</v>
      </c>
      <c r="D178" s="8">
        <v>52510</v>
      </c>
      <c r="E178" s="8">
        <v>6322</v>
      </c>
      <c r="F178" s="8">
        <v>9902079</v>
      </c>
      <c r="G178" s="8" t="s">
        <v>195</v>
      </c>
      <c r="H178" s="1">
        <v>43859</v>
      </c>
      <c r="I178" s="14">
        <f t="shared" si="6"/>
        <v>5.8299677239468037E-3</v>
      </c>
      <c r="J178" s="14">
        <f t="shared" si="7"/>
        <v>0.88733798604187442</v>
      </c>
      <c r="K178" s="17">
        <f t="shared" si="8"/>
        <v>5.9762197413290681E-3</v>
      </c>
      <c r="L178" s="8" t="str" cm="1">
        <f t="array" ref="L178">_xlfn.IFS(I178&gt;5%,"High Risk",AND(I178&gt;2%,I178&lt;5%),"Modrate Risk",I178&lt;2%, "Low Risk")</f>
        <v>Low Risk</v>
      </c>
    </row>
    <row r="179" spans="1:12" x14ac:dyDescent="0.25">
      <c r="A179" s="9" t="s">
        <v>180</v>
      </c>
      <c r="B179" s="9">
        <v>301708</v>
      </c>
      <c r="C179" s="9">
        <v>45844</v>
      </c>
      <c r="D179" s="9">
        <v>1437</v>
      </c>
      <c r="E179" s="9">
        <v>254427</v>
      </c>
      <c r="F179" s="9">
        <v>67922029</v>
      </c>
      <c r="G179" s="9" t="s">
        <v>196</v>
      </c>
      <c r="H179" s="10">
        <v>43861</v>
      </c>
      <c r="I179" s="15">
        <f t="shared" si="6"/>
        <v>0.15194824134593712</v>
      </c>
      <c r="J179" s="15">
        <f t="shared" si="7"/>
        <v>4.7628833176448756E-3</v>
      </c>
      <c r="K179" s="18">
        <f t="shared" si="8"/>
        <v>4.4419756659507328E-3</v>
      </c>
      <c r="L179" s="9" t="str" cm="1">
        <f t="array" ref="L179">_xlfn.IFS(I179&gt;5%,"High Risk",AND(I179&gt;2%,I179&lt;5%),"Modrate Risk",I179&lt;2%, "Low Risk")</f>
        <v>High Risk</v>
      </c>
    </row>
    <row r="180" spans="1:12" x14ac:dyDescent="0.25">
      <c r="A180" s="8" t="s">
        <v>181</v>
      </c>
      <c r="B180" s="8">
        <v>1202</v>
      </c>
      <c r="C180" s="8">
        <v>35</v>
      </c>
      <c r="D180" s="8">
        <v>951</v>
      </c>
      <c r="E180" s="8">
        <v>216</v>
      </c>
      <c r="F180" s="8">
        <v>3474956</v>
      </c>
      <c r="G180" s="8" t="s">
        <v>199</v>
      </c>
      <c r="H180" s="1">
        <v>43903</v>
      </c>
      <c r="I180" s="14">
        <f t="shared" si="6"/>
        <v>2.9118136439267885E-2</v>
      </c>
      <c r="J180" s="14">
        <f t="shared" si="7"/>
        <v>0.79118136439267883</v>
      </c>
      <c r="K180" s="17">
        <f t="shared" si="8"/>
        <v>3.4590366036289381E-4</v>
      </c>
      <c r="L180" s="8" t="str" cm="1">
        <f t="array" ref="L180">_xlfn.IFS(I180&gt;5%,"High Risk",AND(I180&gt;2%,I180&lt;5%),"Modrate Risk",I180&lt;2%, "Low Risk")</f>
        <v>Modrate Risk</v>
      </c>
    </row>
    <row r="181" spans="1:12" x14ac:dyDescent="0.25">
      <c r="A181" s="9" t="s">
        <v>182</v>
      </c>
      <c r="B181" s="9">
        <v>21209</v>
      </c>
      <c r="C181" s="9">
        <v>121</v>
      </c>
      <c r="D181" s="9">
        <v>11674</v>
      </c>
      <c r="E181" s="9">
        <v>9414</v>
      </c>
      <c r="F181" s="9">
        <v>33516027</v>
      </c>
      <c r="G181" s="9" t="s">
        <v>195</v>
      </c>
      <c r="H181" s="10">
        <v>43905</v>
      </c>
      <c r="I181" s="15">
        <f t="shared" si="6"/>
        <v>5.7051251827054551E-3</v>
      </c>
      <c r="J181" s="15">
        <f t="shared" si="7"/>
        <v>0.55042670564383045</v>
      </c>
      <c r="K181" s="18">
        <f t="shared" si="8"/>
        <v>6.3280173392866643E-4</v>
      </c>
      <c r="L181" s="9" t="str" cm="1">
        <f t="array" ref="L181">_xlfn.IFS(I181&gt;5%,"High Risk",AND(I181&gt;2%,I181&lt;5%),"Modrate Risk",I181&lt;2%, "Low Risk")</f>
        <v>Low Risk</v>
      </c>
    </row>
    <row r="182" spans="1:12" x14ac:dyDescent="0.25">
      <c r="A182" s="8" t="s">
        <v>183</v>
      </c>
      <c r="B182" s="8">
        <v>15988</v>
      </c>
      <c r="C182" s="8">
        <v>146</v>
      </c>
      <c r="D182" s="8">
        <v>9959</v>
      </c>
      <c r="E182" s="8">
        <v>5883</v>
      </c>
      <c r="F182" s="8">
        <v>28427499</v>
      </c>
      <c r="G182" s="8" t="s">
        <v>199</v>
      </c>
      <c r="H182" s="1">
        <v>43903</v>
      </c>
      <c r="I182" s="14">
        <f t="shared" si="6"/>
        <v>9.1318488866649981E-3</v>
      </c>
      <c r="J182" s="14">
        <f t="shared" si="7"/>
        <v>0.62290467850888165</v>
      </c>
      <c r="K182" s="17">
        <f t="shared" si="8"/>
        <v>5.624131760588577E-4</v>
      </c>
      <c r="L182" s="8" t="str" cm="1">
        <f t="array" ref="L182">_xlfn.IFS(I182&gt;5%,"High Risk",AND(I182&gt;2%,I182&lt;5%),"Modrate Risk",I182&lt;2%, "Low Risk")</f>
        <v>Low Risk</v>
      </c>
    </row>
    <row r="183" spans="1:12" x14ac:dyDescent="0.25">
      <c r="A183" s="9" t="s">
        <v>184</v>
      </c>
      <c r="B183" s="9">
        <v>431</v>
      </c>
      <c r="C183" s="9">
        <v>0</v>
      </c>
      <c r="D183" s="9">
        <v>365</v>
      </c>
      <c r="E183" s="9">
        <v>66</v>
      </c>
      <c r="F183" s="9">
        <v>97425470</v>
      </c>
      <c r="G183" s="9" t="s">
        <v>195</v>
      </c>
      <c r="H183" s="10">
        <v>43853</v>
      </c>
      <c r="I183" s="15">
        <f t="shared" si="6"/>
        <v>0</v>
      </c>
      <c r="J183" s="15">
        <f t="shared" si="7"/>
        <v>0.84686774941995357</v>
      </c>
      <c r="K183" s="18">
        <f t="shared" si="8"/>
        <v>4.4238944908348918E-6</v>
      </c>
      <c r="L183" s="9" t="str" cm="1">
        <f t="array" ref="L183">_xlfn.IFS(I183&gt;5%,"High Risk",AND(I183&gt;2%,I183&lt;5%),"Modrate Risk",I183&lt;2%, "Low Risk")</f>
        <v>Low Risk</v>
      </c>
    </row>
    <row r="184" spans="1:12" x14ac:dyDescent="0.25">
      <c r="A184" s="8" t="s">
        <v>185</v>
      </c>
      <c r="B184" s="8">
        <v>10621</v>
      </c>
      <c r="C184" s="8">
        <v>78</v>
      </c>
      <c r="D184" s="8">
        <v>3752</v>
      </c>
      <c r="E184" s="8">
        <v>6791</v>
      </c>
      <c r="F184" s="11">
        <v>4800000</v>
      </c>
      <c r="G184" s="8" t="s">
        <v>195</v>
      </c>
      <c r="H184" s="1">
        <v>43895</v>
      </c>
      <c r="I184" s="14">
        <f t="shared" si="6"/>
        <v>7.3439412484700125E-3</v>
      </c>
      <c r="J184" s="14">
        <f t="shared" si="7"/>
        <v>0.35326240466999342</v>
      </c>
      <c r="K184" s="17">
        <f t="shared" si="8"/>
        <v>2.2127083333333335E-3</v>
      </c>
      <c r="L184" s="8" t="str" cm="1">
        <f t="array" ref="L184">_xlfn.IFS(I184&gt;5%,"High Risk",AND(I184&gt;2%,I184&lt;5%),"Modrate Risk",I184&lt;2%, "Low Risk")</f>
        <v>Low Risk</v>
      </c>
    </row>
    <row r="185" spans="1:12" x14ac:dyDescent="0.25">
      <c r="A185" s="9" t="s">
        <v>186</v>
      </c>
      <c r="B185" s="9">
        <v>10</v>
      </c>
      <c r="C185" s="9">
        <v>1</v>
      </c>
      <c r="D185" s="9">
        <v>8</v>
      </c>
      <c r="E185" s="9">
        <v>1</v>
      </c>
      <c r="F185" s="9">
        <v>598682</v>
      </c>
      <c r="G185" s="9" t="s">
        <v>197</v>
      </c>
      <c r="H185" s="10">
        <v>43925</v>
      </c>
      <c r="I185" s="15">
        <f t="shared" si="6"/>
        <v>0.1</v>
      </c>
      <c r="J185" s="15">
        <f t="shared" si="7"/>
        <v>0.8</v>
      </c>
      <c r="K185" s="18">
        <f t="shared" si="8"/>
        <v>1.6703358377235327E-5</v>
      </c>
      <c r="L185" s="9" t="str" cm="1">
        <f t="array" ref="L185">_xlfn.IFS(I185&gt;5%,"High Risk",AND(I185&gt;2%,I185&lt;5%),"Modrate Risk",I185&lt;2%, "Low Risk")</f>
        <v>High Risk</v>
      </c>
    </row>
    <row r="186" spans="1:12" x14ac:dyDescent="0.25">
      <c r="A186" s="8" t="s">
        <v>187</v>
      </c>
      <c r="B186" s="8">
        <v>1691</v>
      </c>
      <c r="C186" s="8">
        <v>483</v>
      </c>
      <c r="D186" s="8">
        <v>833</v>
      </c>
      <c r="E186" s="8">
        <v>375</v>
      </c>
      <c r="F186" s="8">
        <v>29886897</v>
      </c>
      <c r="G186" s="8" t="s">
        <v>195</v>
      </c>
      <c r="H186" s="1">
        <v>43931</v>
      </c>
      <c r="I186" s="14">
        <f t="shared" si="6"/>
        <v>0.28562980484920164</v>
      </c>
      <c r="J186" s="14">
        <f t="shared" si="7"/>
        <v>0.49260792430514488</v>
      </c>
      <c r="K186" s="17">
        <f t="shared" si="8"/>
        <v>5.6579978844909859E-5</v>
      </c>
      <c r="L186" s="8" t="str" cm="1">
        <f t="array" ref="L186">_xlfn.IFS(I186&gt;5%,"High Risk",AND(I186&gt;2%,I186&lt;5%),"Modrate Risk",I186&lt;2%, "Low Risk")</f>
        <v>High Risk</v>
      </c>
    </row>
    <row r="187" spans="1:12" x14ac:dyDescent="0.25">
      <c r="A187" s="9" t="s">
        <v>188</v>
      </c>
      <c r="B187" s="9">
        <v>4552</v>
      </c>
      <c r="C187" s="9">
        <v>140</v>
      </c>
      <c r="D187" s="9">
        <v>2815</v>
      </c>
      <c r="E187" s="9">
        <v>1597</v>
      </c>
      <c r="F187" s="9">
        <v>18430129</v>
      </c>
      <c r="G187" s="9" t="s">
        <v>197</v>
      </c>
      <c r="H187" s="10">
        <v>43908</v>
      </c>
      <c r="I187" s="15">
        <f t="shared" si="6"/>
        <v>3.0755711775043937E-2</v>
      </c>
      <c r="J187" s="15">
        <f t="shared" si="7"/>
        <v>0.61840949033391912</v>
      </c>
      <c r="K187" s="18">
        <f t="shared" si="8"/>
        <v>2.4698687676033088E-4</v>
      </c>
      <c r="L187" s="9" t="str" cm="1">
        <f t="array" ref="L187">_xlfn.IFS(I187&gt;5%,"High Risk",AND(I187&gt;2%,I187&lt;5%),"Modrate Risk",I187&lt;2%, "Low Risk")</f>
        <v>Modrate Risk</v>
      </c>
    </row>
    <row r="188" spans="1:12" x14ac:dyDescent="0.25">
      <c r="A188" s="8" t="s">
        <v>189</v>
      </c>
      <c r="B188" s="8">
        <v>2704</v>
      </c>
      <c r="C188" s="8">
        <v>36</v>
      </c>
      <c r="D188" s="8">
        <v>542</v>
      </c>
      <c r="E188" s="8">
        <v>2126</v>
      </c>
      <c r="F188" s="8">
        <v>14883803</v>
      </c>
      <c r="G188" s="8" t="s">
        <v>197</v>
      </c>
      <c r="H188" s="1">
        <v>43911</v>
      </c>
      <c r="I188" s="14">
        <f t="shared" si="6"/>
        <v>1.3313609467455622E-2</v>
      </c>
      <c r="J188" s="14">
        <f t="shared" si="7"/>
        <v>0.20044378698224852</v>
      </c>
      <c r="K188" s="17">
        <f t="shared" si="8"/>
        <v>1.8167399823821909E-4</v>
      </c>
      <c r="L188" s="8" t="str" cm="1">
        <f t="array" ref="L188">_xlfn.IFS(I188&gt;5%,"High Risk",AND(I188&gt;2%,I188&lt;5%),"Modrate Risk",I188&lt;2%, "Low Risk")</f>
        <v>Low Risk</v>
      </c>
    </row>
  </sheetData>
  <conditionalFormatting sqref="A1:A188">
    <cfRule type="expression" dxfId="1" priority="6">
      <formula>$I1048573&gt;5%</formula>
    </cfRule>
  </conditionalFormatting>
  <conditionalFormatting sqref="I2:I188">
    <cfRule type="iconSet" priority="1">
      <iconSet iconSet="3Arrows">
        <cfvo type="percent" val="0"/>
        <cfvo type="percent" val="33"/>
        <cfvo type="percent" val="67"/>
      </iconSet>
    </cfRule>
  </conditionalFormatting>
  <conditionalFormatting sqref="J2:J188">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conditionalFormatting sqref="K2:K188">
    <cfRule type="dataBar" priority="2">
      <dataBar>
        <cfvo type="min"/>
        <cfvo type="max"/>
        <color rgb="FF638EC6"/>
      </dataBar>
      <extLst>
        <ext xmlns:x14="http://schemas.microsoft.com/office/spreadsheetml/2009/9/main" uri="{B025F937-C7B1-47D3-B67F-A62EFF666E3E}">
          <x14:id>{FD1B8898-32E9-4708-94C1-556656197611}</x14:id>
        </ext>
      </extLst>
    </cfRule>
  </conditionalFormatting>
  <pageMargins left="0.7" right="0.7" top="0.75" bottom="0.75" header="0.3" footer="0.3"/>
  <drawing r:id="rId5"/>
  <extLst>
    <ext xmlns:x14="http://schemas.microsoft.com/office/spreadsheetml/2009/9/main" uri="{78C0D931-6437-407d-A8EE-F0AAD7539E65}">
      <x14:conditionalFormattings>
        <x14:conditionalFormatting xmlns:xm="http://schemas.microsoft.com/office/excel/2006/main">
          <x14:cfRule type="dataBar" id="{FD1B8898-32E9-4708-94C1-556656197611}">
            <x14:dataBar minLength="0" maxLength="100" gradient="0">
              <x14:cfvo type="autoMin"/>
              <x14:cfvo type="autoMax"/>
              <x14:negativeFillColor rgb="FFFF0000"/>
              <x14:axisColor rgb="FF000000"/>
            </x14:dataBar>
          </x14:cfRule>
          <xm:sqref>K2:K188</xm:sqref>
        </x14:conditionalFormatting>
      </x14:conditionalFormattings>
    </ext>
    <ext xmlns:x14="http://schemas.microsoft.com/office/spreadsheetml/2009/9/main" uri="{A8765BA9-456A-4dab-B4F3-ACF838C121DE}">
      <x14:slicerList>
        <x14:slicer r:id="rId6"/>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2D2BC4-8109-4728-AF01-B9D1FC3D90D1}">
  <sheetPr filterMode="1"/>
  <dimension ref="A1:GK188"/>
  <sheetViews>
    <sheetView topLeftCell="A113" workbookViewId="0">
      <selection activeCell="L113" sqref="L113"/>
    </sheetView>
  </sheetViews>
  <sheetFormatPr defaultRowHeight="15" x14ac:dyDescent="0.25"/>
  <cols>
    <col min="1" max="1" width="30.7109375" style="2" bestFit="1" customWidth="1"/>
    <col min="2" max="2" width="10.7109375" style="2" customWidth="1"/>
    <col min="3" max="3" width="7.42578125" style="2" bestFit="1" customWidth="1"/>
    <col min="4" max="4" width="10.7109375" style="2" customWidth="1"/>
    <col min="5" max="5" width="8" style="2" bestFit="1" customWidth="1"/>
    <col min="6" max="6" width="11" style="3" bestFit="1" customWidth="1"/>
    <col min="7" max="7" width="17.42578125" style="2" bestFit="1" customWidth="1"/>
    <col min="8" max="8" width="16.42578125" style="4" bestFit="1" customWidth="1"/>
    <col min="9" max="9" width="14.5703125" style="2" bestFit="1" customWidth="1"/>
    <col min="10" max="10" width="17.7109375" style="2" bestFit="1" customWidth="1"/>
    <col min="11" max="11" width="17.42578125" style="2" bestFit="1" customWidth="1"/>
    <col min="12" max="12" width="15.85546875" style="2" customWidth="1"/>
    <col min="13" max="13" width="9.140625" style="2"/>
    <col min="14" max="15" width="17.7109375" style="2" bestFit="1" customWidth="1"/>
    <col min="16" max="25" width="3" style="2" bestFit="1" customWidth="1"/>
    <col min="26" max="27" width="4" style="2" bestFit="1" customWidth="1"/>
    <col min="28" max="28" width="3" style="2" bestFit="1" customWidth="1"/>
    <col min="29" max="29" width="4" style="2" bestFit="1" customWidth="1"/>
    <col min="30" max="31" width="3" style="2" bestFit="1" customWidth="1"/>
    <col min="32" max="33" width="4" style="2" bestFit="1" customWidth="1"/>
    <col min="34" max="34" width="5" style="2" bestFit="1" customWidth="1"/>
    <col min="35" max="40" width="4" style="2" bestFit="1" customWidth="1"/>
    <col min="41" max="41" width="6" style="2" bestFit="1" customWidth="1"/>
    <col min="42" max="50" width="4" style="2" bestFit="1" customWidth="1"/>
    <col min="51" max="52" width="5" style="2" bestFit="1" customWidth="1"/>
    <col min="53" max="53" width="4" style="2" bestFit="1" customWidth="1"/>
    <col min="54" max="54" width="5" style="2" bestFit="1" customWidth="1"/>
    <col min="55" max="58" width="4" style="2" bestFit="1" customWidth="1"/>
    <col min="59" max="60" width="5" style="2" bestFit="1" customWidth="1"/>
    <col min="61" max="61" width="4" style="2" bestFit="1" customWidth="1"/>
    <col min="62" max="80" width="5" style="2" bestFit="1" customWidth="1"/>
    <col min="81" max="81" width="7" style="2" bestFit="1" customWidth="1"/>
    <col min="82" max="102" width="5" style="2" bestFit="1" customWidth="1"/>
    <col min="103" max="104" width="6" style="2" bestFit="1" customWidth="1"/>
    <col min="105" max="110" width="5" style="2" bestFit="1" customWidth="1"/>
    <col min="111" max="111" width="6" style="2" bestFit="1" customWidth="1"/>
    <col min="112" max="112" width="5" style="2" bestFit="1" customWidth="1"/>
    <col min="113" max="115" width="6" style="2" bestFit="1" customWidth="1"/>
    <col min="116" max="116" width="5" style="2" bestFit="1" customWidth="1"/>
    <col min="117" max="117" width="6" style="2" bestFit="1" customWidth="1"/>
    <col min="118" max="120" width="5" style="2" bestFit="1" customWidth="1"/>
    <col min="121" max="121" width="6" style="2" bestFit="1" customWidth="1"/>
    <col min="122" max="123" width="5" style="2" bestFit="1" customWidth="1"/>
    <col min="124" max="125" width="6" style="2" bestFit="1" customWidth="1"/>
    <col min="126" max="127" width="5" style="2" bestFit="1" customWidth="1"/>
    <col min="128" max="168" width="6" style="2" bestFit="1" customWidth="1"/>
    <col min="169" max="169" width="7" style="2" bestFit="1" customWidth="1"/>
    <col min="170" max="170" width="6" style="2" bestFit="1" customWidth="1"/>
    <col min="171" max="172" width="7" style="2" bestFit="1" customWidth="1"/>
    <col min="173" max="173" width="6" style="2" bestFit="1" customWidth="1"/>
    <col min="174" max="189" width="7" style="2" bestFit="1" customWidth="1"/>
    <col min="190" max="192" width="8" style="2" bestFit="1" customWidth="1"/>
    <col min="193" max="193" width="11.28515625" style="2" bestFit="1" customWidth="1"/>
    <col min="194" max="16384" width="9.140625" style="2"/>
  </cols>
  <sheetData>
    <row r="1" spans="1:193" ht="18" customHeight="1" x14ac:dyDescent="0.25">
      <c r="A1" s="5" t="s">
        <v>0</v>
      </c>
      <c r="B1" s="5" t="s">
        <v>1</v>
      </c>
      <c r="C1" s="5" t="s">
        <v>2</v>
      </c>
      <c r="D1" s="5" t="s">
        <v>3</v>
      </c>
      <c r="E1" s="5" t="s">
        <v>4</v>
      </c>
      <c r="F1" s="6" t="s">
        <v>192</v>
      </c>
      <c r="G1" s="5" t="s">
        <v>193</v>
      </c>
      <c r="H1" s="7" t="s">
        <v>194</v>
      </c>
      <c r="I1" s="5" t="s">
        <v>201</v>
      </c>
      <c r="J1" s="5" t="s">
        <v>202</v>
      </c>
      <c r="K1" s="16" t="s">
        <v>203</v>
      </c>
      <c r="L1" s="5" t="s">
        <v>204</v>
      </c>
      <c r="N1" s="28"/>
      <c r="O1" s="29"/>
      <c r="P1" s="30"/>
      <c r="Q1"/>
      <c r="R1"/>
      <c r="S1"/>
      <c r="T1"/>
      <c r="U1"/>
      <c r="V1"/>
      <c r="W1"/>
      <c r="X1"/>
      <c r="Y1"/>
      <c r="Z1"/>
      <c r="AA1"/>
      <c r="AB1"/>
      <c r="AC1"/>
      <c r="AD1"/>
      <c r="AE1"/>
      <c r="AF1"/>
      <c r="AG1"/>
      <c r="AH1"/>
      <c r="AI1"/>
      <c r="AJ1"/>
      <c r="AK1"/>
      <c r="AL1"/>
      <c r="AM1"/>
      <c r="AN1"/>
      <c r="AO1"/>
      <c r="AP1"/>
      <c r="AQ1"/>
      <c r="AR1"/>
      <c r="AS1"/>
      <c r="AT1"/>
      <c r="AU1"/>
      <c r="AV1"/>
      <c r="AW1"/>
      <c r="AX1"/>
      <c r="AY1"/>
      <c r="AZ1"/>
      <c r="BA1"/>
      <c r="BB1"/>
      <c r="BC1"/>
      <c r="BD1"/>
      <c r="BE1"/>
      <c r="BF1"/>
      <c r="BG1"/>
      <c r="BH1"/>
      <c r="BI1"/>
      <c r="BJ1"/>
      <c r="BK1"/>
      <c r="BL1"/>
      <c r="BM1"/>
      <c r="BN1"/>
      <c r="BO1"/>
      <c r="BP1"/>
      <c r="BQ1"/>
      <c r="BR1"/>
      <c r="BS1"/>
      <c r="BT1"/>
      <c r="BU1"/>
      <c r="BV1"/>
      <c r="BW1"/>
      <c r="BX1"/>
      <c r="BY1"/>
      <c r="BZ1"/>
      <c r="CA1"/>
      <c r="CB1"/>
      <c r="CC1"/>
      <c r="CD1"/>
      <c r="CE1"/>
      <c r="CF1"/>
      <c r="CG1"/>
      <c r="CH1"/>
      <c r="CI1"/>
      <c r="CJ1"/>
      <c r="CK1"/>
      <c r="CL1"/>
      <c r="CM1"/>
      <c r="CN1"/>
      <c r="CO1"/>
      <c r="CP1"/>
      <c r="CQ1"/>
      <c r="CR1"/>
      <c r="CS1"/>
      <c r="CT1"/>
      <c r="CU1"/>
      <c r="CV1"/>
      <c r="CW1"/>
      <c r="CX1"/>
      <c r="CY1"/>
      <c r="CZ1"/>
      <c r="DA1"/>
      <c r="DB1"/>
      <c r="DC1"/>
      <c r="DD1"/>
      <c r="DE1"/>
      <c r="DF1"/>
      <c r="DG1"/>
      <c r="DH1"/>
      <c r="DI1"/>
      <c r="DJ1"/>
      <c r="DK1"/>
      <c r="DL1"/>
      <c r="DM1"/>
      <c r="DN1"/>
      <c r="DO1"/>
      <c r="DP1"/>
      <c r="DQ1"/>
      <c r="DR1"/>
      <c r="DS1"/>
      <c r="DT1"/>
      <c r="DU1"/>
      <c r="DV1"/>
      <c r="DW1"/>
      <c r="DX1"/>
      <c r="DY1"/>
      <c r="DZ1"/>
      <c r="EA1"/>
      <c r="EB1"/>
      <c r="EC1"/>
      <c r="ED1"/>
      <c r="EE1"/>
      <c r="EF1"/>
      <c r="EG1"/>
      <c r="EH1"/>
      <c r="EI1"/>
      <c r="EJ1"/>
      <c r="EK1"/>
      <c r="EL1"/>
      <c r="EM1"/>
      <c r="EN1"/>
      <c r="EO1"/>
      <c r="EP1"/>
      <c r="EQ1"/>
      <c r="ER1"/>
      <c r="ES1"/>
      <c r="ET1"/>
      <c r="EU1"/>
      <c r="EV1"/>
      <c r="EW1"/>
      <c r="EX1"/>
      <c r="EY1"/>
      <c r="EZ1"/>
      <c r="FA1"/>
      <c r="FB1"/>
      <c r="FC1"/>
      <c r="FD1"/>
      <c r="FE1"/>
      <c r="FF1"/>
      <c r="FG1"/>
      <c r="FH1"/>
      <c r="FI1"/>
      <c r="FJ1"/>
      <c r="FK1"/>
      <c r="FL1"/>
      <c r="FM1"/>
      <c r="FN1"/>
      <c r="FO1"/>
      <c r="FP1"/>
      <c r="FQ1"/>
      <c r="FR1"/>
      <c r="FS1"/>
      <c r="FT1"/>
      <c r="FU1"/>
      <c r="FV1"/>
      <c r="FW1"/>
      <c r="FX1"/>
      <c r="FY1"/>
      <c r="FZ1"/>
      <c r="GA1"/>
      <c r="GB1"/>
      <c r="GC1"/>
      <c r="GD1"/>
      <c r="GE1"/>
      <c r="GF1"/>
      <c r="GG1"/>
      <c r="GH1"/>
      <c r="GI1"/>
      <c r="GJ1"/>
      <c r="GK1"/>
    </row>
    <row r="2" spans="1:193" ht="18" hidden="1" customHeight="1" x14ac:dyDescent="0.25">
      <c r="A2" s="8" t="s">
        <v>5</v>
      </c>
      <c r="B2" s="8">
        <v>36263</v>
      </c>
      <c r="C2" s="8">
        <v>1269</v>
      </c>
      <c r="D2" s="8">
        <v>25198</v>
      </c>
      <c r="E2" s="8">
        <v>9796</v>
      </c>
      <c r="F2" s="8">
        <v>39009447</v>
      </c>
      <c r="G2" s="8" t="s">
        <v>195</v>
      </c>
      <c r="H2" s="1">
        <v>43885</v>
      </c>
      <c r="I2" s="14">
        <f>C2/B2</f>
        <v>3.4994346854920991E-2</v>
      </c>
      <c r="J2" s="14">
        <f>D2/B2</f>
        <v>0.69486804732096075</v>
      </c>
      <c r="K2" s="17">
        <f>B2/F2</f>
        <v>9.2959533622714516E-4</v>
      </c>
      <c r="L2" s="8" t="str" cm="1">
        <f t="array" ref="L2">_xlfn.IFS(I2&gt;5%,"High Risk",AND(I2&gt;2%,I2&lt;5%),"Modrate Risk",I2&lt;2%, "Low Risk")</f>
        <v>Modrate Risk</v>
      </c>
      <c r="N2" s="31"/>
      <c r="O2" s="32"/>
      <c r="P2" s="33"/>
      <c r="Q2"/>
      <c r="R2"/>
      <c r="S2"/>
      <c r="T2"/>
      <c r="U2"/>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row>
    <row r="3" spans="1:193" ht="18" hidden="1" customHeight="1" x14ac:dyDescent="0.25">
      <c r="A3" s="9" t="s">
        <v>6</v>
      </c>
      <c r="B3" s="9">
        <v>4880</v>
      </c>
      <c r="C3" s="9">
        <v>144</v>
      </c>
      <c r="D3" s="9">
        <v>2745</v>
      </c>
      <c r="E3" s="9">
        <v>1991</v>
      </c>
      <c r="F3" s="9">
        <v>2877470</v>
      </c>
      <c r="G3" s="9" t="s">
        <v>196</v>
      </c>
      <c r="H3" s="10">
        <v>43899</v>
      </c>
      <c r="I3" s="15">
        <f>C3/B3</f>
        <v>2.9508196721311476E-2</v>
      </c>
      <c r="J3" s="15">
        <f>D3/B3</f>
        <v>0.5625</v>
      </c>
      <c r="K3" s="18">
        <f>B3/F3</f>
        <v>1.6959342755962703E-3</v>
      </c>
      <c r="L3" s="9" t="str" cm="1">
        <f t="array" ref="L3">_xlfn.IFS(I3&gt;5%,"High Risk",AND(I3&gt;2%,I3&lt;5%),"Modrate Risk",I3&lt;2%, "Low Risk")</f>
        <v>Modrate Risk</v>
      </c>
      <c r="N3" s="31"/>
      <c r="O3" s="32"/>
      <c r="P3" s="3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row>
    <row r="4" spans="1:193" ht="18" hidden="1" customHeight="1" x14ac:dyDescent="0.25">
      <c r="A4" s="8" t="s">
        <v>7</v>
      </c>
      <c r="B4" s="8">
        <v>27973</v>
      </c>
      <c r="C4" s="8">
        <v>1163</v>
      </c>
      <c r="D4" s="8">
        <v>18837</v>
      </c>
      <c r="E4" s="8">
        <v>7973</v>
      </c>
      <c r="F4" s="8">
        <v>43926079</v>
      </c>
      <c r="G4" s="8" t="s">
        <v>197</v>
      </c>
      <c r="H4" s="1">
        <v>43886</v>
      </c>
      <c r="I4" s="14">
        <f t="shared" ref="I4:I67" si="0">C4/B4</f>
        <v>4.1575805240767885E-2</v>
      </c>
      <c r="J4" s="14">
        <f t="shared" ref="J4:J67" si="1">D4/B4</f>
        <v>0.67339934937260926</v>
      </c>
      <c r="K4" s="17">
        <f t="shared" ref="K4:K67" si="2">B4/F4</f>
        <v>6.3681987185790017E-4</v>
      </c>
      <c r="L4" s="8" t="str" cm="1">
        <f t="array" ref="L4">_xlfn.IFS(I4&gt;5%,"High Risk",AND(I4&gt;2%,I4&lt;5%),"Modrate Risk",I4&lt;2%, "Low Risk")</f>
        <v>Modrate Risk</v>
      </c>
      <c r="N4" s="31"/>
      <c r="O4" s="32"/>
      <c r="P4" s="33"/>
      <c r="Q4"/>
      <c r="R4"/>
      <c r="S4"/>
      <c r="T4"/>
      <c r="U4"/>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row>
    <row r="5" spans="1:193" ht="18" hidden="1" customHeight="1" x14ac:dyDescent="0.25">
      <c r="A5" s="9" t="s">
        <v>8</v>
      </c>
      <c r="B5" s="9">
        <v>907</v>
      </c>
      <c r="C5" s="9">
        <v>52</v>
      </c>
      <c r="D5" s="9">
        <v>803</v>
      </c>
      <c r="E5" s="9">
        <v>52</v>
      </c>
      <c r="F5" s="9">
        <v>77278</v>
      </c>
      <c r="G5" s="9" t="s">
        <v>196</v>
      </c>
      <c r="H5" s="10">
        <v>43892</v>
      </c>
      <c r="I5" s="15">
        <f t="shared" si="0"/>
        <v>5.7331863285556783E-2</v>
      </c>
      <c r="J5" s="15">
        <f t="shared" si="1"/>
        <v>0.88533627342888643</v>
      </c>
      <c r="K5" s="18">
        <f t="shared" si="2"/>
        <v>1.1736846191671627E-2</v>
      </c>
      <c r="L5" s="9" t="str" cm="1">
        <f t="array" ref="L5">_xlfn.IFS(I5&gt;5%,"High Risk",AND(I5&gt;2%,I5&lt;5%),"Modrate Risk",I5&lt;2%, "Low Risk")</f>
        <v>High Risk</v>
      </c>
      <c r="N5" s="31"/>
      <c r="O5" s="32"/>
      <c r="P5" s="33"/>
      <c r="Q5"/>
      <c r="R5"/>
      <c r="S5"/>
      <c r="T5"/>
      <c r="U5"/>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row>
    <row r="6" spans="1:193" ht="18" hidden="1" customHeight="1" x14ac:dyDescent="0.25">
      <c r="A6" s="8" t="s">
        <v>9</v>
      </c>
      <c r="B6" s="8">
        <v>950</v>
      </c>
      <c r="C6" s="8">
        <v>41</v>
      </c>
      <c r="D6" s="8">
        <v>242</v>
      </c>
      <c r="E6" s="8">
        <v>667</v>
      </c>
      <c r="F6" s="8">
        <v>32956300</v>
      </c>
      <c r="G6" s="8" t="s">
        <v>197</v>
      </c>
      <c r="H6" s="1">
        <v>43911</v>
      </c>
      <c r="I6" s="14">
        <f t="shared" si="0"/>
        <v>4.3157894736842103E-2</v>
      </c>
      <c r="J6" s="14">
        <f t="shared" si="1"/>
        <v>0.25473684210526315</v>
      </c>
      <c r="K6" s="17">
        <f t="shared" si="2"/>
        <v>2.8826051468156317E-5</v>
      </c>
      <c r="L6" s="8" t="str" cm="1">
        <f t="array" ref="L6">_xlfn.IFS(I6&gt;5%,"High Risk",AND(I6&gt;2%,I6&lt;5%),"Modrate Risk",I6&lt;2%, "Low Risk")</f>
        <v>Modrate Risk</v>
      </c>
      <c r="N6" s="31"/>
      <c r="O6" s="32"/>
      <c r="P6" s="33"/>
      <c r="Q6"/>
      <c r="R6"/>
      <c r="S6"/>
      <c r="T6"/>
      <c r="U6"/>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row>
    <row r="7" spans="1:193" ht="18" hidden="1" customHeight="1" x14ac:dyDescent="0.25">
      <c r="A7" s="9" t="s">
        <v>10</v>
      </c>
      <c r="B7" s="9">
        <v>86</v>
      </c>
      <c r="C7" s="9">
        <v>3</v>
      </c>
      <c r="D7" s="9">
        <v>65</v>
      </c>
      <c r="E7" s="9">
        <v>18</v>
      </c>
      <c r="F7" s="9">
        <v>98010</v>
      </c>
      <c r="G7" s="9" t="s">
        <v>198</v>
      </c>
      <c r="H7" s="10">
        <v>43903</v>
      </c>
      <c r="I7" s="15">
        <f t="shared" si="0"/>
        <v>3.4883720930232558E-2</v>
      </c>
      <c r="J7" s="15">
        <f t="shared" si="1"/>
        <v>0.7558139534883721</v>
      </c>
      <c r="K7" s="18">
        <f t="shared" si="2"/>
        <v>8.7746148352208962E-4</v>
      </c>
      <c r="L7" s="9" t="str" cm="1">
        <f t="array" ref="L7">_xlfn.IFS(I7&gt;5%,"High Risk",AND(I7&gt;2%,I7&lt;5%),"Modrate Risk",I7&lt;2%, "Low Risk")</f>
        <v>Modrate Risk</v>
      </c>
      <c r="N7" s="31"/>
      <c r="O7" s="32"/>
      <c r="P7" s="33"/>
      <c r="Q7"/>
      <c r="R7"/>
      <c r="S7"/>
      <c r="T7"/>
      <c r="U7"/>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row>
    <row r="8" spans="1:193" ht="18" hidden="1" customHeight="1" x14ac:dyDescent="0.25">
      <c r="A8" s="8" t="s">
        <v>11</v>
      </c>
      <c r="B8" s="8">
        <v>167416</v>
      </c>
      <c r="C8" s="8">
        <v>3059</v>
      </c>
      <c r="D8" s="8">
        <v>72575</v>
      </c>
      <c r="E8" s="8">
        <v>91782</v>
      </c>
      <c r="F8" s="8">
        <v>45236884</v>
      </c>
      <c r="G8" s="8" t="s">
        <v>199</v>
      </c>
      <c r="H8" s="1">
        <v>43893</v>
      </c>
      <c r="I8" s="14">
        <f t="shared" si="0"/>
        <v>1.8271849763463469E-2</v>
      </c>
      <c r="J8" s="14">
        <f t="shared" si="1"/>
        <v>0.43350097959573758</v>
      </c>
      <c r="K8" s="17">
        <f t="shared" si="2"/>
        <v>3.7008738267649026E-3</v>
      </c>
      <c r="L8" s="8" t="str" cm="1">
        <f t="array" ref="L8">_xlfn.IFS(I8&gt;5%,"High Risk",AND(I8&gt;2%,I8&lt;5%),"Modrate Risk",I8&lt;2%, "Low Risk")</f>
        <v>Low Risk</v>
      </c>
      <c r="N8" s="31"/>
      <c r="O8" s="32"/>
      <c r="P8" s="33"/>
      <c r="Q8"/>
      <c r="R8"/>
      <c r="S8"/>
      <c r="T8"/>
      <c r="U8"/>
      <c r="V8"/>
      <c r="W8"/>
      <c r="X8"/>
      <c r="Y8"/>
      <c r="Z8"/>
      <c r="AA8"/>
      <c r="AB8"/>
      <c r="AC8"/>
      <c r="AD8"/>
      <c r="AE8"/>
      <c r="AF8"/>
      <c r="AG8"/>
      <c r="AH8"/>
      <c r="AI8"/>
      <c r="AJ8"/>
      <c r="AK8"/>
      <c r="AL8"/>
      <c r="AM8"/>
      <c r="AN8"/>
      <c r="AO8"/>
      <c r="AP8"/>
      <c r="AQ8"/>
      <c r="AR8"/>
      <c r="AS8"/>
      <c r="AT8"/>
      <c r="AU8"/>
      <c r="AV8"/>
      <c r="AW8"/>
      <c r="AX8"/>
      <c r="AY8"/>
      <c r="AZ8"/>
      <c r="BA8"/>
      <c r="BB8"/>
      <c r="BC8"/>
      <c r="BD8"/>
      <c r="BE8"/>
      <c r="BF8"/>
      <c r="BG8"/>
      <c r="BH8"/>
      <c r="BI8"/>
      <c r="BJ8"/>
      <c r="BK8"/>
      <c r="BL8"/>
      <c r="BM8"/>
      <c r="BN8"/>
      <c r="BO8"/>
      <c r="BP8"/>
      <c r="BQ8"/>
      <c r="BR8"/>
      <c r="BS8"/>
      <c r="BT8"/>
      <c r="BU8"/>
      <c r="BV8"/>
      <c r="BW8"/>
      <c r="BX8"/>
      <c r="BY8"/>
      <c r="BZ8"/>
      <c r="CA8"/>
      <c r="CB8"/>
      <c r="CC8"/>
      <c r="CD8"/>
      <c r="CE8"/>
      <c r="CF8"/>
      <c r="CG8"/>
      <c r="CH8"/>
      <c r="CI8"/>
      <c r="CJ8"/>
      <c r="CK8"/>
      <c r="CL8"/>
      <c r="CM8"/>
      <c r="CN8"/>
      <c r="CO8"/>
      <c r="CP8"/>
      <c r="CQ8"/>
      <c r="CR8"/>
      <c r="CS8"/>
      <c r="CT8"/>
      <c r="CU8"/>
      <c r="CV8"/>
      <c r="CW8"/>
      <c r="CX8"/>
      <c r="CY8"/>
      <c r="CZ8"/>
      <c r="DA8"/>
      <c r="DB8"/>
      <c r="DC8"/>
      <c r="DD8"/>
      <c r="DE8"/>
      <c r="DF8"/>
      <c r="DG8"/>
      <c r="DH8"/>
      <c r="DI8"/>
      <c r="DJ8"/>
      <c r="DK8"/>
      <c r="DL8"/>
      <c r="DM8"/>
      <c r="DN8"/>
      <c r="DO8"/>
      <c r="DP8"/>
      <c r="DQ8"/>
      <c r="DR8"/>
      <c r="DS8"/>
      <c r="DT8"/>
      <c r="DU8"/>
      <c r="DV8"/>
      <c r="DW8"/>
      <c r="DX8"/>
      <c r="DY8"/>
      <c r="DZ8"/>
      <c r="EA8"/>
      <c r="EB8"/>
      <c r="EC8"/>
      <c r="ED8"/>
      <c r="EE8"/>
      <c r="EF8"/>
      <c r="EG8"/>
      <c r="EH8"/>
      <c r="EI8"/>
      <c r="EJ8"/>
      <c r="EK8"/>
      <c r="EL8"/>
      <c r="EM8"/>
      <c r="EN8"/>
      <c r="EO8"/>
      <c r="EP8"/>
      <c r="EQ8"/>
      <c r="ER8"/>
      <c r="ES8"/>
      <c r="ET8"/>
      <c r="EU8"/>
      <c r="EV8"/>
      <c r="EW8"/>
      <c r="EX8"/>
      <c r="EY8"/>
      <c r="EZ8"/>
      <c r="FA8"/>
      <c r="FB8"/>
      <c r="FC8"/>
      <c r="FD8"/>
      <c r="FE8"/>
      <c r="FF8"/>
      <c r="FG8"/>
      <c r="FH8"/>
      <c r="FI8"/>
      <c r="FJ8"/>
      <c r="FK8"/>
      <c r="FL8"/>
      <c r="FM8"/>
      <c r="FN8"/>
      <c r="FO8"/>
      <c r="FP8"/>
      <c r="FQ8"/>
      <c r="FR8"/>
      <c r="FS8"/>
      <c r="FT8"/>
      <c r="FU8"/>
      <c r="FV8"/>
      <c r="FW8"/>
      <c r="FX8"/>
      <c r="FY8"/>
      <c r="FZ8"/>
      <c r="GA8"/>
      <c r="GB8"/>
      <c r="GC8"/>
      <c r="GD8"/>
      <c r="GE8"/>
      <c r="GF8"/>
      <c r="GG8"/>
      <c r="GH8"/>
      <c r="GI8"/>
      <c r="GJ8"/>
      <c r="GK8"/>
    </row>
    <row r="9" spans="1:193" ht="18" hidden="1" customHeight="1" x14ac:dyDescent="0.25">
      <c r="A9" s="9" t="s">
        <v>12</v>
      </c>
      <c r="B9" s="9">
        <v>37390</v>
      </c>
      <c r="C9" s="9">
        <v>711</v>
      </c>
      <c r="D9" s="9">
        <v>26665</v>
      </c>
      <c r="E9" s="9">
        <v>10014</v>
      </c>
      <c r="F9" s="9">
        <v>2963811</v>
      </c>
      <c r="G9" s="9" t="s">
        <v>195</v>
      </c>
      <c r="H9" s="10">
        <v>43891</v>
      </c>
      <c r="I9" s="15">
        <f t="shared" si="0"/>
        <v>1.901577962021931E-2</v>
      </c>
      <c r="J9" s="15">
        <f t="shared" si="1"/>
        <v>0.71315859855576358</v>
      </c>
      <c r="K9" s="18">
        <f t="shared" si="2"/>
        <v>1.2615514282118529E-2</v>
      </c>
      <c r="L9" s="9" t="str" cm="1">
        <f t="array" ref="L9">_xlfn.IFS(I9&gt;5%,"High Risk",AND(I9&gt;2%,I9&lt;5%),"Modrate Risk",I9&lt;2%, "Low Risk")</f>
        <v>Low Risk</v>
      </c>
      <c r="N9" s="31"/>
      <c r="O9" s="32"/>
      <c r="P9" s="33"/>
      <c r="Q9"/>
      <c r="R9"/>
      <c r="S9"/>
      <c r="T9"/>
      <c r="U9"/>
      <c r="V9"/>
      <c r="W9"/>
      <c r="X9"/>
      <c r="Y9"/>
      <c r="Z9"/>
      <c r="AA9"/>
      <c r="AB9"/>
      <c r="AC9"/>
      <c r="AD9"/>
      <c r="AE9"/>
      <c r="AF9"/>
      <c r="AG9"/>
      <c r="AH9"/>
      <c r="AI9"/>
      <c r="AJ9"/>
      <c r="AK9"/>
      <c r="AL9"/>
      <c r="AM9"/>
      <c r="AN9"/>
      <c r="AO9"/>
      <c r="AP9"/>
      <c r="AQ9"/>
      <c r="AR9"/>
      <c r="AS9"/>
      <c r="AT9"/>
      <c r="AU9"/>
      <c r="AV9"/>
      <c r="AW9"/>
      <c r="AX9"/>
      <c r="AY9"/>
      <c r="AZ9"/>
      <c r="BA9"/>
      <c r="BB9"/>
      <c r="BC9"/>
      <c r="BD9"/>
      <c r="BE9"/>
      <c r="BF9"/>
      <c r="BG9"/>
      <c r="BH9"/>
      <c r="BI9"/>
      <c r="BJ9"/>
      <c r="BK9"/>
      <c r="BL9"/>
      <c r="BM9"/>
      <c r="BN9"/>
      <c r="BO9"/>
      <c r="BP9"/>
      <c r="BQ9"/>
      <c r="BR9"/>
      <c r="BS9"/>
      <c r="BT9"/>
      <c r="BU9"/>
      <c r="BV9"/>
      <c r="BW9"/>
      <c r="BX9"/>
      <c r="BY9"/>
      <c r="BZ9"/>
      <c r="CA9"/>
      <c r="CB9"/>
      <c r="CC9"/>
      <c r="CD9"/>
      <c r="CE9"/>
      <c r="CF9"/>
      <c r="CG9"/>
      <c r="CH9"/>
      <c r="CI9"/>
      <c r="CJ9"/>
      <c r="CK9"/>
      <c r="CL9"/>
      <c r="CM9"/>
      <c r="CN9"/>
      <c r="CO9"/>
      <c r="CP9"/>
      <c r="CQ9"/>
      <c r="CR9"/>
      <c r="CS9"/>
      <c r="CT9"/>
      <c r="CU9"/>
      <c r="CV9"/>
      <c r="CW9"/>
      <c r="CX9"/>
      <c r="CY9"/>
      <c r="CZ9"/>
      <c r="DA9"/>
      <c r="DB9"/>
      <c r="DC9"/>
      <c r="DD9"/>
      <c r="DE9"/>
      <c r="DF9"/>
      <c r="DG9"/>
      <c r="DH9"/>
      <c r="DI9"/>
      <c r="DJ9"/>
      <c r="DK9"/>
      <c r="DL9"/>
      <c r="DM9"/>
      <c r="DN9"/>
      <c r="DO9"/>
      <c r="DP9"/>
      <c r="DQ9"/>
      <c r="DR9"/>
      <c r="DS9"/>
      <c r="DT9"/>
      <c r="DU9"/>
      <c r="DV9"/>
      <c r="DW9"/>
      <c r="DX9"/>
      <c r="DY9"/>
      <c r="DZ9"/>
      <c r="EA9"/>
      <c r="EB9"/>
      <c r="EC9"/>
      <c r="ED9"/>
      <c r="EE9"/>
      <c r="EF9"/>
      <c r="EG9"/>
      <c r="EH9"/>
      <c r="EI9"/>
      <c r="EJ9"/>
      <c r="EK9"/>
      <c r="EL9"/>
      <c r="EM9"/>
      <c r="EN9"/>
      <c r="EO9"/>
      <c r="EP9"/>
      <c r="EQ9"/>
      <c r="ER9"/>
      <c r="ES9"/>
      <c r="ET9"/>
      <c r="EU9"/>
      <c r="EV9"/>
      <c r="EW9"/>
      <c r="EX9"/>
      <c r="EY9"/>
      <c r="EZ9"/>
      <c r="FA9"/>
      <c r="FB9"/>
      <c r="FC9"/>
      <c r="FD9"/>
      <c r="FE9"/>
      <c r="FF9"/>
      <c r="FG9"/>
      <c r="FH9"/>
      <c r="FI9"/>
      <c r="FJ9"/>
      <c r="FK9"/>
      <c r="FL9"/>
      <c r="FM9"/>
      <c r="FN9"/>
      <c r="FO9"/>
      <c r="FP9"/>
      <c r="FQ9"/>
      <c r="FR9"/>
      <c r="FS9"/>
      <c r="FT9"/>
      <c r="FU9"/>
      <c r="FV9"/>
      <c r="FW9"/>
      <c r="FX9"/>
      <c r="FY9"/>
      <c r="FZ9"/>
      <c r="GA9"/>
      <c r="GB9"/>
      <c r="GC9"/>
      <c r="GD9"/>
      <c r="GE9"/>
      <c r="GF9"/>
      <c r="GG9"/>
      <c r="GH9"/>
      <c r="GI9"/>
      <c r="GJ9"/>
      <c r="GK9"/>
    </row>
    <row r="10" spans="1:193" ht="18" hidden="1" customHeight="1" x14ac:dyDescent="0.25">
      <c r="A10" s="8" t="s">
        <v>13</v>
      </c>
      <c r="B10" s="8">
        <v>15303</v>
      </c>
      <c r="C10" s="8">
        <v>167</v>
      </c>
      <c r="D10" s="8">
        <v>9311</v>
      </c>
      <c r="E10" s="8">
        <v>5825</v>
      </c>
      <c r="F10" s="8">
        <v>25528864</v>
      </c>
      <c r="G10" s="8" t="s">
        <v>200</v>
      </c>
      <c r="H10" s="1">
        <v>43855</v>
      </c>
      <c r="I10" s="14">
        <f t="shared" si="0"/>
        <v>1.0912892896817617E-2</v>
      </c>
      <c r="J10" s="14">
        <f t="shared" si="1"/>
        <v>0.60844278899562176</v>
      </c>
      <c r="K10" s="17">
        <f t="shared" si="2"/>
        <v>5.9943912897965216E-4</v>
      </c>
      <c r="L10" s="8" t="str" cm="1">
        <f t="array" ref="L10">_xlfn.IFS(I10&gt;5%,"High Risk",AND(I10&gt;2%,I10&lt;5%),"Modrate Risk",I10&lt;2%, "Low Risk")</f>
        <v>Low Risk</v>
      </c>
      <c r="N10" s="31"/>
      <c r="O10" s="32"/>
      <c r="P10" s="33"/>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c r="BC10"/>
      <c r="BD10"/>
      <c r="BE10"/>
      <c r="BF10"/>
      <c r="BG10"/>
      <c r="BH10"/>
      <c r="BI10"/>
      <c r="BJ10"/>
      <c r="BK10"/>
      <c r="BL10"/>
      <c r="BM10"/>
      <c r="BN10"/>
      <c r="BO10"/>
      <c r="BP10"/>
      <c r="BQ10"/>
      <c r="BR10"/>
      <c r="BS10"/>
      <c r="BT10"/>
      <c r="BU10"/>
      <c r="BV10"/>
      <c r="BW10"/>
      <c r="BX10"/>
      <c r="BY10"/>
      <c r="BZ10"/>
      <c r="CA10"/>
      <c r="CB10"/>
      <c r="CC10"/>
      <c r="CD10"/>
      <c r="CE10"/>
      <c r="CF10"/>
      <c r="CG10"/>
      <c r="CH10"/>
      <c r="CI10"/>
      <c r="CJ10"/>
      <c r="CK10"/>
      <c r="CL10"/>
      <c r="CM10"/>
      <c r="CN10"/>
      <c r="CO10"/>
      <c r="CP10"/>
      <c r="CQ10"/>
      <c r="CR10"/>
      <c r="CS10"/>
      <c r="CT10"/>
      <c r="CU10"/>
      <c r="CV10"/>
      <c r="CW10"/>
      <c r="CX10"/>
      <c r="CY10"/>
      <c r="CZ10"/>
      <c r="DA10"/>
      <c r="DB10"/>
      <c r="DC10"/>
      <c r="DD10"/>
      <c r="DE10"/>
      <c r="DF10"/>
      <c r="DG10"/>
      <c r="DH10"/>
      <c r="DI10"/>
      <c r="DJ10"/>
      <c r="DK10"/>
      <c r="DL10"/>
      <c r="DM10"/>
      <c r="DN10"/>
      <c r="DO10"/>
      <c r="DP10"/>
      <c r="DQ10"/>
      <c r="DR10"/>
      <c r="DS10"/>
      <c r="DT10"/>
      <c r="DU10"/>
      <c r="DV10"/>
      <c r="DW10"/>
      <c r="DX10"/>
      <c r="DY10"/>
      <c r="DZ10"/>
      <c r="EA10"/>
      <c r="EB10"/>
      <c r="EC10"/>
      <c r="ED10"/>
      <c r="EE10"/>
      <c r="EF10"/>
      <c r="EG10"/>
      <c r="EH10"/>
      <c r="EI10"/>
      <c r="EJ10"/>
      <c r="EK10"/>
      <c r="EL10"/>
      <c r="EM10"/>
      <c r="EN10"/>
      <c r="EO10"/>
      <c r="EP10"/>
      <c r="EQ10"/>
      <c r="ER10"/>
      <c r="ES10"/>
      <c r="ET10"/>
      <c r="EU10"/>
      <c r="EV10"/>
      <c r="EW10"/>
      <c r="EX10"/>
      <c r="EY10"/>
      <c r="EZ10"/>
      <c r="FA10"/>
      <c r="FB10"/>
      <c r="FC10"/>
      <c r="FD10"/>
      <c r="FE10"/>
      <c r="FF10"/>
      <c r="FG10"/>
      <c r="FH10"/>
      <c r="FI10"/>
      <c r="FJ10"/>
      <c r="FK10"/>
      <c r="FL10"/>
      <c r="FM10"/>
      <c r="FN10"/>
      <c r="FO10"/>
      <c r="FP10"/>
      <c r="FQ10"/>
      <c r="FR10"/>
      <c r="FS10"/>
      <c r="FT10"/>
      <c r="FU10"/>
      <c r="FV10"/>
      <c r="FW10"/>
      <c r="FX10"/>
      <c r="FY10"/>
      <c r="FZ10"/>
      <c r="GA10"/>
      <c r="GB10"/>
      <c r="GC10"/>
      <c r="GD10"/>
      <c r="GE10"/>
      <c r="GF10"/>
      <c r="GG10"/>
      <c r="GH10"/>
      <c r="GI10"/>
      <c r="GJ10"/>
      <c r="GK10"/>
    </row>
    <row r="11" spans="1:193" ht="18" hidden="1" customHeight="1" x14ac:dyDescent="0.25">
      <c r="A11" s="9" t="s">
        <v>14</v>
      </c>
      <c r="B11" s="9">
        <v>20558</v>
      </c>
      <c r="C11" s="9">
        <v>713</v>
      </c>
      <c r="D11" s="9">
        <v>18246</v>
      </c>
      <c r="E11" s="9">
        <v>1599</v>
      </c>
      <c r="F11" s="9">
        <v>9011577</v>
      </c>
      <c r="G11" s="9" t="s">
        <v>196</v>
      </c>
      <c r="H11" s="10">
        <v>43886</v>
      </c>
      <c r="I11" s="15">
        <f t="shared" si="0"/>
        <v>3.4682362097480303E-2</v>
      </c>
      <c r="J11" s="15">
        <f t="shared" si="1"/>
        <v>0.88753769821967121</v>
      </c>
      <c r="K11" s="18">
        <f t="shared" si="2"/>
        <v>2.2812877257776302E-3</v>
      </c>
      <c r="L11" s="9" t="str" cm="1">
        <f t="array" ref="L11">_xlfn.IFS(I11&gt;5%,"High Risk",AND(I11&gt;2%,I11&lt;5%),"Modrate Risk",I11&lt;2%, "Low Risk")</f>
        <v>Modrate Risk</v>
      </c>
      <c r="N11" s="31"/>
      <c r="O11" s="32"/>
      <c r="P11" s="33"/>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c r="BC11"/>
      <c r="BD11"/>
      <c r="BE11"/>
      <c r="BF11"/>
      <c r="BG11"/>
      <c r="BH11"/>
      <c r="BI11"/>
      <c r="BJ11"/>
      <c r="BK11"/>
      <c r="BL11"/>
      <c r="BM11"/>
      <c r="BN11"/>
      <c r="BO11"/>
      <c r="BP11"/>
      <c r="BQ11"/>
      <c r="BR11"/>
      <c r="BS11"/>
      <c r="BT11"/>
      <c r="BU11"/>
      <c r="BV11"/>
      <c r="BW11"/>
      <c r="BX11"/>
      <c r="BY11"/>
      <c r="BZ11"/>
      <c r="CA11"/>
      <c r="CB11"/>
      <c r="CC11"/>
      <c r="CD11"/>
      <c r="CE11"/>
      <c r="CF11"/>
      <c r="CG11"/>
      <c r="CH11"/>
      <c r="CI11"/>
      <c r="CJ11"/>
      <c r="CK11"/>
      <c r="CL11"/>
      <c r="CM11"/>
      <c r="CN11"/>
      <c r="CO11"/>
      <c r="CP11"/>
      <c r="CQ11"/>
      <c r="CR11"/>
      <c r="CS11"/>
      <c r="CT11"/>
      <c r="CU11"/>
      <c r="CV11"/>
      <c r="CW11"/>
      <c r="CX11"/>
      <c r="CY11"/>
      <c r="CZ11"/>
      <c r="DA11"/>
      <c r="DB11"/>
      <c r="DC11"/>
      <c r="DD11"/>
      <c r="DE11"/>
      <c r="DF11"/>
      <c r="DG11"/>
      <c r="DH11"/>
      <c r="DI11"/>
      <c r="DJ11"/>
      <c r="DK11"/>
      <c r="DL11"/>
      <c r="DM11"/>
      <c r="DN11"/>
      <c r="DO11"/>
      <c r="DP11"/>
      <c r="DQ11"/>
      <c r="DR11"/>
      <c r="DS11"/>
      <c r="DT11"/>
      <c r="DU11"/>
      <c r="DV11"/>
      <c r="DW11"/>
      <c r="DX11"/>
      <c r="DY11"/>
      <c r="DZ11"/>
      <c r="EA11"/>
      <c r="EB11"/>
      <c r="EC11"/>
      <c r="ED11"/>
      <c r="EE11"/>
      <c r="EF11"/>
      <c r="EG11"/>
      <c r="EH11"/>
      <c r="EI11"/>
      <c r="EJ11"/>
      <c r="EK11"/>
      <c r="EL11"/>
      <c r="EM11"/>
      <c r="EN11"/>
      <c r="EO11"/>
      <c r="EP11"/>
      <c r="EQ11"/>
      <c r="ER11"/>
      <c r="ES11"/>
      <c r="ET11"/>
      <c r="EU11"/>
      <c r="EV11"/>
      <c r="EW11"/>
      <c r="EX11"/>
      <c r="EY11"/>
      <c r="EZ11"/>
      <c r="FA11"/>
      <c r="FB11"/>
      <c r="FC11"/>
      <c r="FD11"/>
      <c r="FE11"/>
      <c r="FF11"/>
      <c r="FG11"/>
      <c r="FH11"/>
      <c r="FI11"/>
      <c r="FJ11"/>
      <c r="FK11"/>
      <c r="FL11"/>
      <c r="FM11"/>
      <c r="FN11"/>
      <c r="FO11"/>
      <c r="FP11"/>
      <c r="FQ11"/>
      <c r="FR11"/>
      <c r="FS11"/>
      <c r="FT11"/>
      <c r="FU11"/>
      <c r="FV11"/>
      <c r="FW11"/>
      <c r="FX11"/>
      <c r="FY11"/>
      <c r="FZ11"/>
      <c r="GA11"/>
      <c r="GB11"/>
      <c r="GC11"/>
      <c r="GD11"/>
      <c r="GE11"/>
      <c r="GF11"/>
      <c r="GG11"/>
      <c r="GH11"/>
      <c r="GI11"/>
      <c r="GJ11"/>
      <c r="GK11"/>
    </row>
    <row r="12" spans="1:193" ht="18" hidden="1" customHeight="1" x14ac:dyDescent="0.25">
      <c r="A12" s="8" t="s">
        <v>15</v>
      </c>
      <c r="B12" s="8">
        <v>30446</v>
      </c>
      <c r="C12" s="8">
        <v>423</v>
      </c>
      <c r="D12" s="8">
        <v>23242</v>
      </c>
      <c r="E12" s="8">
        <v>6781</v>
      </c>
      <c r="F12" s="8">
        <v>10148243</v>
      </c>
      <c r="G12" s="8" t="s">
        <v>195</v>
      </c>
      <c r="H12" s="1">
        <v>43889</v>
      </c>
      <c r="I12" s="14">
        <f t="shared" si="0"/>
        <v>1.389345069959929E-2</v>
      </c>
      <c r="J12" s="14">
        <f t="shared" si="1"/>
        <v>0.76338435262431847</v>
      </c>
      <c r="K12" s="17">
        <f t="shared" si="2"/>
        <v>3.0001252433549336E-3</v>
      </c>
      <c r="L12" s="8" t="str" cm="1">
        <f t="array" ref="L12">_xlfn.IFS(I12&gt;5%,"High Risk",AND(I12&gt;2%,I12&lt;5%),"Modrate Risk",I12&lt;2%, "Low Risk")</f>
        <v>Low Risk</v>
      </c>
      <c r="N12" s="31"/>
      <c r="O12" s="32"/>
      <c r="P12" s="33"/>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c r="BC12"/>
      <c r="BD12"/>
      <c r="BE12"/>
      <c r="BF12"/>
      <c r="BG12"/>
      <c r="BH12"/>
      <c r="BI12"/>
      <c r="BJ12"/>
      <c r="BK12"/>
      <c r="BL12"/>
      <c r="BM12"/>
      <c r="BN12"/>
      <c r="BO12"/>
      <c r="BP12"/>
      <c r="BQ12"/>
      <c r="BR12"/>
      <c r="BS12"/>
      <c r="BT12"/>
      <c r="BU12"/>
      <c r="BV12"/>
      <c r="BW12"/>
      <c r="BX12"/>
      <c r="BY12"/>
      <c r="BZ12"/>
      <c r="CA12"/>
      <c r="CB12"/>
      <c r="CC12"/>
      <c r="CD12"/>
      <c r="CE12"/>
      <c r="CF12"/>
      <c r="CG12"/>
      <c r="CH12"/>
      <c r="CI12"/>
      <c r="CJ12"/>
      <c r="CK12"/>
      <c r="CL12"/>
      <c r="CM12"/>
      <c r="CN12"/>
      <c r="CO12"/>
      <c r="CP12"/>
      <c r="CQ12"/>
      <c r="CR12"/>
      <c r="CS12"/>
      <c r="CT12"/>
      <c r="CU12"/>
      <c r="CV12"/>
      <c r="CW12"/>
      <c r="CX12"/>
      <c r="CY12"/>
      <c r="CZ12"/>
      <c r="DA12"/>
      <c r="DB12"/>
      <c r="DC12"/>
      <c r="DD12"/>
      <c r="DE12"/>
      <c r="DF12"/>
      <c r="DG12"/>
      <c r="DH12"/>
      <c r="DI12"/>
      <c r="DJ12"/>
      <c r="DK12"/>
      <c r="DL12"/>
      <c r="DM12"/>
      <c r="DN12"/>
      <c r="DO12"/>
      <c r="DP12"/>
      <c r="DQ12"/>
      <c r="DR12"/>
      <c r="DS12"/>
      <c r="DT12"/>
      <c r="DU12"/>
      <c r="DV12"/>
      <c r="DW12"/>
      <c r="DX12"/>
      <c r="DY12"/>
      <c r="DZ12"/>
      <c r="EA12"/>
      <c r="EB12"/>
      <c r="EC12"/>
      <c r="ED12"/>
      <c r="EE12"/>
      <c r="EF12"/>
      <c r="EG12"/>
      <c r="EH12"/>
      <c r="EI12"/>
      <c r="EJ12"/>
      <c r="EK12"/>
      <c r="EL12"/>
      <c r="EM12"/>
      <c r="EN12"/>
      <c r="EO12"/>
      <c r="EP12"/>
      <c r="EQ12"/>
      <c r="ER12"/>
      <c r="ES12"/>
      <c r="ET12"/>
      <c r="EU12"/>
      <c r="EV12"/>
      <c r="EW12"/>
      <c r="EX12"/>
      <c r="EY12"/>
      <c r="EZ12"/>
      <c r="FA12"/>
      <c r="FB12"/>
      <c r="FC12"/>
      <c r="FD12"/>
      <c r="FE12"/>
      <c r="FF12"/>
      <c r="FG12"/>
      <c r="FH12"/>
      <c r="FI12"/>
      <c r="FJ12"/>
      <c r="FK12"/>
      <c r="FL12"/>
      <c r="FM12"/>
      <c r="FN12"/>
      <c r="FO12"/>
      <c r="FP12"/>
      <c r="FQ12"/>
      <c r="FR12"/>
      <c r="FS12"/>
      <c r="FT12"/>
      <c r="FU12"/>
      <c r="FV12"/>
      <c r="FW12"/>
      <c r="FX12"/>
      <c r="FY12"/>
      <c r="FZ12"/>
      <c r="GA12"/>
      <c r="GB12"/>
      <c r="GC12"/>
      <c r="GD12"/>
      <c r="GE12"/>
      <c r="GF12"/>
      <c r="GG12"/>
      <c r="GH12"/>
      <c r="GI12"/>
      <c r="GJ12"/>
      <c r="GK12"/>
    </row>
    <row r="13" spans="1:193" ht="18" hidden="1" customHeight="1" x14ac:dyDescent="0.25">
      <c r="A13" s="9" t="s">
        <v>16</v>
      </c>
      <c r="B13" s="9">
        <v>382</v>
      </c>
      <c r="C13" s="9">
        <v>11</v>
      </c>
      <c r="D13" s="9">
        <v>91</v>
      </c>
      <c r="E13" s="9">
        <v>280</v>
      </c>
      <c r="F13" s="9">
        <v>393616</v>
      </c>
      <c r="G13" s="9" t="s">
        <v>198</v>
      </c>
      <c r="H13" s="10">
        <v>43905</v>
      </c>
      <c r="I13" s="15">
        <f t="shared" si="0"/>
        <v>2.8795811518324606E-2</v>
      </c>
      <c r="J13" s="15">
        <f t="shared" si="1"/>
        <v>0.23821989528795812</v>
      </c>
      <c r="K13" s="18">
        <f t="shared" si="2"/>
        <v>9.7048900451201169E-4</v>
      </c>
      <c r="L13" s="9" t="str" cm="1">
        <f t="array" ref="L13">_xlfn.IFS(I13&gt;5%,"High Risk",AND(I13&gt;2%,I13&lt;5%),"Modrate Risk",I13&lt;2%, "Low Risk")</f>
        <v>Modrate Risk</v>
      </c>
      <c r="N13" s="31"/>
      <c r="O13" s="32"/>
      <c r="P13" s="3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c r="BC13"/>
      <c r="BD13"/>
      <c r="BE13"/>
      <c r="BF13"/>
      <c r="BG13"/>
      <c r="BH13"/>
      <c r="BI13"/>
      <c r="BJ13"/>
      <c r="BK13"/>
      <c r="BL13"/>
      <c r="BM13"/>
      <c r="BN13"/>
      <c r="BO13"/>
      <c r="BP13"/>
      <c r="BQ13"/>
      <c r="BR13"/>
      <c r="BS13"/>
      <c r="BT13"/>
      <c r="BU13"/>
      <c r="BV13"/>
      <c r="BW13"/>
      <c r="BX13"/>
      <c r="BY13"/>
      <c r="BZ13"/>
      <c r="CA13"/>
      <c r="CB13"/>
      <c r="CC13"/>
      <c r="CD13"/>
      <c r="CE13"/>
      <c r="CF13"/>
      <c r="CG13"/>
      <c r="CH13"/>
      <c r="CI13"/>
      <c r="CJ13"/>
      <c r="CK13"/>
      <c r="CL13"/>
      <c r="CM13"/>
      <c r="CN13"/>
      <c r="CO13"/>
      <c r="CP13"/>
      <c r="CQ13"/>
      <c r="CR13"/>
      <c r="CS13"/>
      <c r="CT13"/>
      <c r="CU13"/>
      <c r="CV13"/>
      <c r="CW13"/>
      <c r="CX13"/>
      <c r="CY13"/>
      <c r="CZ13"/>
      <c r="DA13"/>
      <c r="DB13"/>
      <c r="DC13"/>
      <c r="DD13"/>
      <c r="DE13"/>
      <c r="DF13"/>
      <c r="DG13"/>
      <c r="DH13"/>
      <c r="DI13"/>
      <c r="DJ13"/>
      <c r="DK13"/>
      <c r="DL13"/>
      <c r="DM13"/>
      <c r="DN13"/>
      <c r="DO13"/>
      <c r="DP13"/>
      <c r="DQ13"/>
      <c r="DR13"/>
      <c r="DS13"/>
      <c r="DT13"/>
      <c r="DU13"/>
      <c r="DV13"/>
      <c r="DW13"/>
      <c r="DX13"/>
      <c r="DY13"/>
      <c r="DZ13"/>
      <c r="EA13"/>
      <c r="EB13"/>
      <c r="EC13"/>
      <c r="ED13"/>
      <c r="EE13"/>
      <c r="EF13"/>
      <c r="EG13"/>
      <c r="EH13"/>
      <c r="EI13"/>
      <c r="EJ13"/>
      <c r="EK13"/>
      <c r="EL13"/>
      <c r="EM13"/>
      <c r="EN13"/>
      <c r="EO13"/>
      <c r="EP13"/>
      <c r="EQ13"/>
      <c r="ER13"/>
      <c r="ES13"/>
      <c r="ET13"/>
      <c r="EU13"/>
      <c r="EV13"/>
      <c r="EW13"/>
      <c r="EX13"/>
      <c r="EY13"/>
      <c r="EZ13"/>
      <c r="FA13"/>
      <c r="FB13"/>
      <c r="FC13"/>
      <c r="FD13"/>
      <c r="FE13"/>
      <c r="FF13"/>
      <c r="FG13"/>
      <c r="FH13"/>
      <c r="FI13"/>
      <c r="FJ13"/>
      <c r="FK13"/>
      <c r="FL13"/>
      <c r="FM13"/>
      <c r="FN13"/>
      <c r="FO13"/>
      <c r="FP13"/>
      <c r="FQ13"/>
      <c r="FR13"/>
      <c r="FS13"/>
      <c r="FT13"/>
      <c r="FU13"/>
      <c r="FV13"/>
      <c r="FW13"/>
      <c r="FX13"/>
      <c r="FY13"/>
      <c r="FZ13"/>
      <c r="GA13"/>
      <c r="GB13"/>
      <c r="GC13"/>
      <c r="GD13"/>
      <c r="GE13"/>
      <c r="GF13"/>
      <c r="GG13"/>
      <c r="GH13"/>
      <c r="GI13"/>
      <c r="GJ13"/>
      <c r="GK13"/>
    </row>
    <row r="14" spans="1:193" ht="18" hidden="1" customHeight="1" x14ac:dyDescent="0.25">
      <c r="A14" s="8" t="s">
        <v>17</v>
      </c>
      <c r="B14" s="8">
        <v>39482</v>
      </c>
      <c r="C14" s="8">
        <v>141</v>
      </c>
      <c r="D14" s="8">
        <v>36110</v>
      </c>
      <c r="E14" s="8">
        <v>3231</v>
      </c>
      <c r="F14" s="8">
        <v>1706669</v>
      </c>
      <c r="G14" s="8" t="s">
        <v>195</v>
      </c>
      <c r="H14" s="1">
        <v>43882</v>
      </c>
      <c r="I14" s="14">
        <f t="shared" si="0"/>
        <v>3.5712476571602247E-3</v>
      </c>
      <c r="J14" s="14">
        <f t="shared" si="1"/>
        <v>0.91459399219897675</v>
      </c>
      <c r="K14" s="17">
        <f t="shared" si="2"/>
        <v>2.3133952746548978E-2</v>
      </c>
      <c r="L14" s="8" t="str" cm="1">
        <f t="array" ref="L14">_xlfn.IFS(I14&gt;5%,"High Risk",AND(I14&gt;2%,I14&lt;5%),"Modrate Risk",I14&lt;2%, "Low Risk")</f>
        <v>Low Risk</v>
      </c>
      <c r="N14" s="31"/>
      <c r="O14" s="32"/>
      <c r="P14" s="33"/>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c r="BC14"/>
      <c r="BD14"/>
      <c r="BE14"/>
      <c r="BF14"/>
      <c r="BG14"/>
      <c r="BH14"/>
      <c r="BI14"/>
      <c r="BJ14"/>
      <c r="BK14"/>
      <c r="BL14"/>
      <c r="BM14"/>
      <c r="BN14"/>
      <c r="BO14"/>
      <c r="BP14"/>
      <c r="BQ14"/>
      <c r="BR14"/>
      <c r="BS14"/>
      <c r="BT14"/>
      <c r="BU14"/>
      <c r="BV14"/>
      <c r="BW14"/>
      <c r="BX14"/>
      <c r="BY14"/>
      <c r="BZ14"/>
      <c r="CA14"/>
      <c r="CB14"/>
      <c r="CC14"/>
      <c r="CD14"/>
      <c r="CE14"/>
      <c r="CF14"/>
      <c r="CG14"/>
      <c r="CH14"/>
      <c r="CI14"/>
      <c r="CJ14"/>
      <c r="CK14"/>
      <c r="CL14"/>
      <c r="CM14"/>
      <c r="CN14"/>
      <c r="CO14"/>
      <c r="CP14"/>
      <c r="CQ14"/>
      <c r="CR14"/>
      <c r="CS14"/>
      <c r="CT14"/>
      <c r="CU14"/>
      <c r="CV14"/>
      <c r="CW14"/>
      <c r="CX14"/>
      <c r="CY14"/>
      <c r="CZ14"/>
      <c r="DA14"/>
      <c r="DB14"/>
      <c r="DC14"/>
      <c r="DD14"/>
      <c r="DE14"/>
      <c r="DF14"/>
      <c r="DG14"/>
      <c r="DH14"/>
      <c r="DI14"/>
      <c r="DJ14"/>
      <c r="DK14"/>
      <c r="DL14"/>
      <c r="DM14"/>
      <c r="DN14"/>
      <c r="DO14"/>
      <c r="DP14"/>
      <c r="DQ14"/>
      <c r="DR14"/>
      <c r="DS14"/>
      <c r="DT14"/>
      <c r="DU14"/>
      <c r="DV14"/>
      <c r="DW14"/>
      <c r="DX14"/>
      <c r="DY14"/>
      <c r="DZ14"/>
      <c r="EA14"/>
      <c r="EB14"/>
      <c r="EC14"/>
      <c r="ED14"/>
      <c r="EE14"/>
      <c r="EF14"/>
      <c r="EG14"/>
      <c r="EH14"/>
      <c r="EI14"/>
      <c r="EJ14"/>
      <c r="EK14"/>
      <c r="EL14"/>
      <c r="EM14"/>
      <c r="EN14"/>
      <c r="EO14"/>
      <c r="EP14"/>
      <c r="EQ14"/>
      <c r="ER14"/>
      <c r="ES14"/>
      <c r="ET14"/>
      <c r="EU14"/>
      <c r="EV14"/>
      <c r="EW14"/>
      <c r="EX14"/>
      <c r="EY14"/>
      <c r="EZ14"/>
      <c r="FA14"/>
      <c r="FB14"/>
      <c r="FC14"/>
      <c r="FD14"/>
      <c r="FE14"/>
      <c r="FF14"/>
      <c r="FG14"/>
      <c r="FH14"/>
      <c r="FI14"/>
      <c r="FJ14"/>
      <c r="FK14"/>
      <c r="FL14"/>
      <c r="FM14"/>
      <c r="FN14"/>
      <c r="FO14"/>
      <c r="FP14"/>
      <c r="FQ14"/>
      <c r="FR14"/>
      <c r="FS14"/>
      <c r="FT14"/>
      <c r="FU14"/>
      <c r="FV14"/>
      <c r="FW14"/>
      <c r="FX14"/>
      <c r="FY14"/>
      <c r="FZ14"/>
      <c r="GA14"/>
      <c r="GB14"/>
      <c r="GC14"/>
      <c r="GD14"/>
      <c r="GE14"/>
      <c r="GF14"/>
      <c r="GG14"/>
      <c r="GH14"/>
      <c r="GI14"/>
      <c r="GJ14"/>
      <c r="GK14"/>
    </row>
    <row r="15" spans="1:193" ht="18" hidden="1" customHeight="1" x14ac:dyDescent="0.25">
      <c r="A15" s="9" t="s">
        <v>18</v>
      </c>
      <c r="B15" s="9">
        <v>226225</v>
      </c>
      <c r="C15" s="9">
        <v>2965</v>
      </c>
      <c r="D15" s="9">
        <v>125683</v>
      </c>
      <c r="E15" s="9">
        <v>97577</v>
      </c>
      <c r="F15" s="9">
        <v>164851401</v>
      </c>
      <c r="G15" s="9" t="s">
        <v>195</v>
      </c>
      <c r="H15" s="10">
        <v>43898</v>
      </c>
      <c r="I15" s="15">
        <f t="shared" si="0"/>
        <v>1.3106420598961211E-2</v>
      </c>
      <c r="J15" s="15">
        <f t="shared" si="1"/>
        <v>0.55556636092385903</v>
      </c>
      <c r="K15" s="18">
        <f t="shared" si="2"/>
        <v>1.3722964962851604E-3</v>
      </c>
      <c r="L15" s="9" t="str" cm="1">
        <f t="array" ref="L15">_xlfn.IFS(I15&gt;5%,"High Risk",AND(I15&gt;2%,I15&lt;5%),"Modrate Risk",I15&lt;2%, "Low Risk")</f>
        <v>Low Risk</v>
      </c>
      <c r="N15" s="31"/>
      <c r="O15" s="32"/>
      <c r="P15" s="33"/>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c r="BC15"/>
      <c r="BD15"/>
      <c r="BE15"/>
      <c r="BF15"/>
      <c r="BG15"/>
      <c r="BH15"/>
      <c r="BI15"/>
      <c r="BJ15"/>
      <c r="BK15"/>
      <c r="BL15"/>
      <c r="BM15"/>
      <c r="BN15"/>
      <c r="BO15"/>
      <c r="BP15"/>
      <c r="BQ15"/>
      <c r="BR15"/>
      <c r="BS15"/>
      <c r="BT15"/>
      <c r="BU15"/>
      <c r="BV15"/>
      <c r="BW15"/>
      <c r="BX15"/>
      <c r="BY15"/>
      <c r="BZ15"/>
      <c r="CA15"/>
      <c r="CB15"/>
      <c r="CC15"/>
      <c r="CD15"/>
      <c r="CE15"/>
      <c r="CF15"/>
      <c r="CG15"/>
      <c r="CH15"/>
      <c r="CI15"/>
      <c r="CJ15"/>
      <c r="CK15"/>
      <c r="CL15"/>
      <c r="CM15"/>
      <c r="CN15"/>
      <c r="CO15"/>
      <c r="CP15"/>
      <c r="CQ15"/>
      <c r="CR15"/>
      <c r="CS15"/>
      <c r="CT15"/>
      <c r="CU15"/>
      <c r="CV15"/>
      <c r="CW15"/>
      <c r="CX15"/>
      <c r="CY15"/>
      <c r="CZ15"/>
      <c r="DA15"/>
      <c r="DB15"/>
      <c r="DC15"/>
      <c r="DD15"/>
      <c r="DE15"/>
      <c r="DF15"/>
      <c r="DG15"/>
      <c r="DH15"/>
      <c r="DI15"/>
      <c r="DJ15"/>
      <c r="DK15"/>
      <c r="DL15"/>
      <c r="DM15"/>
      <c r="DN15"/>
      <c r="DO15"/>
      <c r="DP15"/>
      <c r="DQ15"/>
      <c r="DR15"/>
      <c r="DS15"/>
      <c r="DT15"/>
      <c r="DU15"/>
      <c r="DV15"/>
      <c r="DW15"/>
      <c r="DX15"/>
      <c r="DY15"/>
      <c r="DZ15"/>
      <c r="EA15"/>
      <c r="EB15"/>
      <c r="EC15"/>
      <c r="ED15"/>
      <c r="EE15"/>
      <c r="EF15"/>
      <c r="EG15"/>
      <c r="EH15"/>
      <c r="EI15"/>
      <c r="EJ15"/>
      <c r="EK15"/>
      <c r="EL15"/>
      <c r="EM15"/>
      <c r="EN15"/>
      <c r="EO15"/>
      <c r="EP15"/>
      <c r="EQ15"/>
      <c r="ER15"/>
      <c r="ES15"/>
      <c r="ET15"/>
      <c r="EU15"/>
      <c r="EV15"/>
      <c r="EW15"/>
      <c r="EX15"/>
      <c r="EY15"/>
      <c r="EZ15"/>
      <c r="FA15"/>
      <c r="FB15"/>
      <c r="FC15"/>
      <c r="FD15"/>
      <c r="FE15"/>
      <c r="FF15"/>
      <c r="FG15"/>
      <c r="FH15"/>
      <c r="FI15"/>
      <c r="FJ15"/>
      <c r="FK15"/>
      <c r="FL15"/>
      <c r="FM15"/>
      <c r="FN15"/>
      <c r="FO15"/>
      <c r="FP15"/>
      <c r="FQ15"/>
      <c r="FR15"/>
      <c r="FS15"/>
      <c r="FT15"/>
      <c r="FU15"/>
      <c r="FV15"/>
      <c r="FW15"/>
      <c r="FX15"/>
      <c r="FY15"/>
      <c r="FZ15"/>
      <c r="GA15"/>
      <c r="GB15"/>
      <c r="GC15"/>
      <c r="GD15"/>
      <c r="GE15"/>
      <c r="GF15"/>
      <c r="GG15"/>
      <c r="GH15"/>
      <c r="GI15"/>
      <c r="GJ15"/>
      <c r="GK15"/>
    </row>
    <row r="16" spans="1:193" ht="18" hidden="1" customHeight="1" x14ac:dyDescent="0.25">
      <c r="A16" s="8" t="s">
        <v>19</v>
      </c>
      <c r="B16" s="8">
        <v>110</v>
      </c>
      <c r="C16" s="8">
        <v>7</v>
      </c>
      <c r="D16" s="8">
        <v>94</v>
      </c>
      <c r="E16" s="8">
        <v>9</v>
      </c>
      <c r="F16" s="8">
        <v>287411</v>
      </c>
      <c r="G16" s="8" t="s">
        <v>198</v>
      </c>
      <c r="H16" s="1">
        <v>43907</v>
      </c>
      <c r="I16" s="14">
        <f t="shared" si="0"/>
        <v>6.363636363636363E-2</v>
      </c>
      <c r="J16" s="14">
        <f t="shared" si="1"/>
        <v>0.8545454545454545</v>
      </c>
      <c r="K16" s="17">
        <f t="shared" si="2"/>
        <v>3.8272717467320317E-4</v>
      </c>
      <c r="L16" s="8" t="str" cm="1">
        <f t="array" ref="L16">_xlfn.IFS(I16&gt;5%,"High Risk",AND(I16&gt;2%,I16&lt;5%),"Modrate Risk",I16&lt;2%, "Low Risk")</f>
        <v>High Risk</v>
      </c>
      <c r="N16" s="31"/>
      <c r="O16" s="32"/>
      <c r="P16" s="33"/>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c r="BC16"/>
      <c r="BD16"/>
      <c r="BE16"/>
      <c r="BF16"/>
      <c r="BG16"/>
      <c r="BH16"/>
      <c r="BI16"/>
      <c r="BJ16"/>
      <c r="BK16"/>
      <c r="BL16"/>
      <c r="BM16"/>
      <c r="BN16"/>
      <c r="BO16"/>
      <c r="BP16"/>
      <c r="BQ16"/>
      <c r="BR16"/>
      <c r="BS16"/>
      <c r="BT16"/>
      <c r="BU16"/>
      <c r="BV16"/>
      <c r="BW16"/>
      <c r="BX16"/>
      <c r="BY16"/>
      <c r="BZ16"/>
      <c r="CA16"/>
      <c r="CB16"/>
      <c r="CC16"/>
      <c r="CD16"/>
      <c r="CE16"/>
      <c r="CF16"/>
      <c r="CG16"/>
      <c r="CH16"/>
      <c r="CI16"/>
      <c r="CJ16"/>
      <c r="CK16"/>
      <c r="CL16"/>
      <c r="CM16"/>
      <c r="CN16"/>
      <c r="CO16"/>
      <c r="CP16"/>
      <c r="CQ16"/>
      <c r="CR16"/>
      <c r="CS16"/>
      <c r="CT16"/>
      <c r="CU16"/>
      <c r="CV16"/>
      <c r="CW16"/>
      <c r="CX16"/>
      <c r="CY16"/>
      <c r="CZ16"/>
      <c r="DA16"/>
      <c r="DB16"/>
      <c r="DC16"/>
      <c r="DD16"/>
      <c r="DE16"/>
      <c r="DF16"/>
      <c r="DG16"/>
      <c r="DH16"/>
      <c r="DI16"/>
      <c r="DJ16"/>
      <c r="DK16"/>
      <c r="DL16"/>
      <c r="DM16"/>
      <c r="DN16"/>
      <c r="DO16"/>
      <c r="DP16"/>
      <c r="DQ16"/>
      <c r="DR16"/>
      <c r="DS16"/>
      <c r="DT16"/>
      <c r="DU16"/>
      <c r="DV16"/>
      <c r="DW16"/>
      <c r="DX16"/>
      <c r="DY16"/>
      <c r="DZ16"/>
      <c r="EA16"/>
      <c r="EB16"/>
      <c r="EC16"/>
      <c r="ED16"/>
      <c r="EE16"/>
      <c r="EF16"/>
      <c r="EG16"/>
      <c r="EH16"/>
      <c r="EI16"/>
      <c r="EJ16"/>
      <c r="EK16"/>
      <c r="EL16"/>
      <c r="EM16"/>
      <c r="EN16"/>
      <c r="EO16"/>
      <c r="EP16"/>
      <c r="EQ16"/>
      <c r="ER16"/>
      <c r="ES16"/>
      <c r="ET16"/>
      <c r="EU16"/>
      <c r="EV16"/>
      <c r="EW16"/>
      <c r="EX16"/>
      <c r="EY16"/>
      <c r="EZ16"/>
      <c r="FA16"/>
      <c r="FB16"/>
      <c r="FC16"/>
      <c r="FD16"/>
      <c r="FE16"/>
      <c r="FF16"/>
      <c r="FG16"/>
      <c r="FH16"/>
      <c r="FI16"/>
      <c r="FJ16"/>
      <c r="FK16"/>
      <c r="FL16"/>
      <c r="FM16"/>
      <c r="FN16"/>
      <c r="FO16"/>
      <c r="FP16"/>
      <c r="FQ16"/>
      <c r="FR16"/>
      <c r="FS16"/>
      <c r="FT16"/>
      <c r="FU16"/>
      <c r="FV16"/>
      <c r="FW16"/>
      <c r="FX16"/>
      <c r="FY16"/>
      <c r="FZ16"/>
      <c r="GA16"/>
      <c r="GB16"/>
      <c r="GC16"/>
      <c r="GD16"/>
      <c r="GE16"/>
      <c r="GF16"/>
      <c r="GG16"/>
      <c r="GH16"/>
      <c r="GI16"/>
      <c r="GJ16"/>
      <c r="GK16"/>
    </row>
    <row r="17" spans="1:193" ht="18" hidden="1" customHeight="1" x14ac:dyDescent="0.25">
      <c r="A17" s="9" t="s">
        <v>20</v>
      </c>
      <c r="B17" s="9">
        <v>67251</v>
      </c>
      <c r="C17" s="9">
        <v>538</v>
      </c>
      <c r="D17" s="9">
        <v>60492</v>
      </c>
      <c r="E17" s="9">
        <v>6221</v>
      </c>
      <c r="F17" s="9">
        <v>9449001</v>
      </c>
      <c r="G17" s="9" t="s">
        <v>196</v>
      </c>
      <c r="H17" s="10">
        <v>43889</v>
      </c>
      <c r="I17" s="15">
        <f t="shared" si="0"/>
        <v>7.9998810426610764E-3</v>
      </c>
      <c r="J17" s="15">
        <f t="shared" si="1"/>
        <v>0.89949591827630815</v>
      </c>
      <c r="K17" s="18">
        <f t="shared" si="2"/>
        <v>7.1172603326002401E-3</v>
      </c>
      <c r="L17" s="9" t="str" cm="1">
        <f t="array" ref="L17">_xlfn.IFS(I17&gt;5%,"High Risk",AND(I17&gt;2%,I17&lt;5%),"Modrate Risk",I17&lt;2%, "Low Risk")</f>
        <v>Low Risk</v>
      </c>
      <c r="N17" s="31"/>
      <c r="O17" s="32"/>
      <c r="P17" s="33"/>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c r="BC17"/>
      <c r="BD17"/>
      <c r="BE17"/>
      <c r="BF17"/>
      <c r="BG17"/>
      <c r="BH17"/>
      <c r="BI17"/>
      <c r="BJ17"/>
      <c r="BK17"/>
      <c r="BL17"/>
      <c r="BM17"/>
      <c r="BN17"/>
      <c r="BO17"/>
      <c r="BP17"/>
      <c r="BQ17"/>
      <c r="BR17"/>
      <c r="BS17"/>
      <c r="BT17"/>
      <c r="BU17"/>
      <c r="BV17"/>
      <c r="BW17"/>
      <c r="BX17"/>
      <c r="BY17"/>
      <c r="BZ17"/>
      <c r="CA17"/>
      <c r="CB17"/>
      <c r="CC17"/>
      <c r="CD17"/>
      <c r="CE17"/>
      <c r="CF17"/>
      <c r="CG17"/>
      <c r="CH17"/>
      <c r="CI17"/>
      <c r="CJ17"/>
      <c r="CK17"/>
      <c r="CL17"/>
      <c r="CM17"/>
      <c r="CN17"/>
      <c r="CO17"/>
      <c r="CP17"/>
      <c r="CQ17"/>
      <c r="CR17"/>
      <c r="CS17"/>
      <c r="CT17"/>
      <c r="CU17"/>
      <c r="CV17"/>
      <c r="CW17"/>
      <c r="CX17"/>
      <c r="CY17"/>
      <c r="CZ17"/>
      <c r="DA17"/>
      <c r="DB17"/>
      <c r="DC17"/>
      <c r="DD17"/>
      <c r="DE17"/>
      <c r="DF17"/>
      <c r="DG17"/>
      <c r="DH17"/>
      <c r="DI17"/>
      <c r="DJ17"/>
      <c r="DK17"/>
      <c r="DL17"/>
      <c r="DM17"/>
      <c r="DN17"/>
      <c r="DO17"/>
      <c r="DP17"/>
      <c r="DQ17"/>
      <c r="DR17"/>
      <c r="DS17"/>
      <c r="DT17"/>
      <c r="DU17"/>
      <c r="DV17"/>
      <c r="DW17"/>
      <c r="DX17"/>
      <c r="DY17"/>
      <c r="DZ17"/>
      <c r="EA17"/>
      <c r="EB17"/>
      <c r="EC17"/>
      <c r="ED17"/>
      <c r="EE17"/>
      <c r="EF17"/>
      <c r="EG17"/>
      <c r="EH17"/>
      <c r="EI17"/>
      <c r="EJ17"/>
      <c r="EK17"/>
      <c r="EL17"/>
      <c r="EM17"/>
      <c r="EN17"/>
      <c r="EO17"/>
      <c r="EP17"/>
      <c r="EQ17"/>
      <c r="ER17"/>
      <c r="ES17"/>
      <c r="ET17"/>
      <c r="EU17"/>
      <c r="EV17"/>
      <c r="EW17"/>
      <c r="EX17"/>
      <c r="EY17"/>
      <c r="EZ17"/>
      <c r="FA17"/>
      <c r="FB17"/>
      <c r="FC17"/>
      <c r="FD17"/>
      <c r="FE17"/>
      <c r="FF17"/>
      <c r="FG17"/>
      <c r="FH17"/>
      <c r="FI17"/>
      <c r="FJ17"/>
      <c r="FK17"/>
      <c r="FL17"/>
      <c r="FM17"/>
      <c r="FN17"/>
      <c r="FO17"/>
      <c r="FP17"/>
      <c r="FQ17"/>
      <c r="FR17"/>
      <c r="FS17"/>
      <c r="FT17"/>
      <c r="FU17"/>
      <c r="FV17"/>
      <c r="FW17"/>
      <c r="FX17"/>
      <c r="FY17"/>
      <c r="FZ17"/>
      <c r="GA17"/>
      <c r="GB17"/>
      <c r="GC17"/>
      <c r="GD17"/>
      <c r="GE17"/>
      <c r="GF17"/>
      <c r="GG17"/>
      <c r="GH17"/>
      <c r="GI17"/>
      <c r="GJ17"/>
      <c r="GK17"/>
    </row>
    <row r="18" spans="1:193" ht="18" hidden="1" customHeight="1" x14ac:dyDescent="0.25">
      <c r="A18" s="8" t="s">
        <v>21</v>
      </c>
      <c r="B18" s="8">
        <v>66428</v>
      </c>
      <c r="C18" s="8">
        <v>9822</v>
      </c>
      <c r="D18" s="8">
        <v>17452</v>
      </c>
      <c r="E18" s="8">
        <v>39154</v>
      </c>
      <c r="F18" s="8">
        <v>11594739</v>
      </c>
      <c r="G18" s="8" t="s">
        <v>196</v>
      </c>
      <c r="H18" s="1">
        <v>43865</v>
      </c>
      <c r="I18" s="14">
        <f t="shared" si="0"/>
        <v>0.14785933642439936</v>
      </c>
      <c r="J18" s="14">
        <f t="shared" si="1"/>
        <v>0.26272053953152286</v>
      </c>
      <c r="K18" s="17">
        <f t="shared" si="2"/>
        <v>5.7291500912612179E-3</v>
      </c>
      <c r="L18" s="8" t="str" cm="1">
        <f t="array" ref="L18">_xlfn.IFS(I18&gt;5%,"High Risk",AND(I18&gt;2%,I18&lt;5%),"Modrate Risk",I18&lt;2%, "Low Risk")</f>
        <v>High Risk</v>
      </c>
      <c r="N18" s="34"/>
      <c r="O18" s="35"/>
      <c r="P18" s="36"/>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c r="BC18"/>
      <c r="BD18"/>
      <c r="BE18"/>
      <c r="BF18"/>
      <c r="BG18"/>
      <c r="BH18"/>
      <c r="BI18"/>
      <c r="BJ18"/>
      <c r="BK18"/>
      <c r="BL18"/>
      <c r="BM18"/>
      <c r="BN18"/>
      <c r="BO18"/>
      <c r="BP18"/>
      <c r="BQ18"/>
      <c r="BR18"/>
      <c r="BS18"/>
      <c r="BT18"/>
      <c r="BU18"/>
      <c r="BV18"/>
      <c r="BW18"/>
      <c r="BX18"/>
      <c r="BY18"/>
      <c r="BZ18"/>
      <c r="CA18"/>
      <c r="CB18"/>
      <c r="CC18"/>
      <c r="CD18"/>
      <c r="CE18"/>
      <c r="CF18"/>
      <c r="CG18"/>
      <c r="CH18"/>
      <c r="CI18"/>
      <c r="CJ18"/>
      <c r="CK18"/>
      <c r="CL18"/>
      <c r="CM18"/>
      <c r="CN18"/>
      <c r="CO18"/>
      <c r="CP18"/>
      <c r="CQ18"/>
      <c r="CR18"/>
      <c r="CS18"/>
      <c r="CT18"/>
      <c r="CU18"/>
      <c r="CV18"/>
      <c r="CW18"/>
      <c r="CX18"/>
      <c r="CY18"/>
      <c r="CZ18"/>
      <c r="DA18"/>
      <c r="DB18"/>
      <c r="DC18"/>
      <c r="DD18"/>
      <c r="DE18"/>
      <c r="DF18"/>
      <c r="DG18"/>
      <c r="DH18"/>
      <c r="DI18"/>
      <c r="DJ18"/>
      <c r="DK18"/>
      <c r="DL18"/>
      <c r="DM18"/>
      <c r="DN18"/>
      <c r="DO18"/>
      <c r="DP18"/>
      <c r="DQ18"/>
      <c r="DR18"/>
      <c r="DS18"/>
      <c r="DT18"/>
      <c r="DU18"/>
      <c r="DV18"/>
      <c r="DW18"/>
      <c r="DX18"/>
      <c r="DY18"/>
      <c r="DZ18"/>
      <c r="EA18"/>
      <c r="EB18"/>
      <c r="EC18"/>
      <c r="ED18"/>
      <c r="EE18"/>
      <c r="EF18"/>
      <c r="EG18"/>
      <c r="EH18"/>
      <c r="EI18"/>
      <c r="EJ18"/>
      <c r="EK18"/>
      <c r="EL18"/>
      <c r="EM18"/>
      <c r="EN18"/>
      <c r="EO18"/>
      <c r="EP18"/>
      <c r="EQ18"/>
      <c r="ER18"/>
      <c r="ES18"/>
      <c r="ET18"/>
      <c r="EU18"/>
      <c r="EV18"/>
      <c r="EW18"/>
      <c r="EX18"/>
      <c r="EY18"/>
      <c r="EZ18"/>
      <c r="FA18"/>
      <c r="FB18"/>
      <c r="FC18"/>
      <c r="FD18"/>
      <c r="FE18"/>
      <c r="FF18"/>
      <c r="FG18"/>
      <c r="FH18"/>
      <c r="FI18"/>
      <c r="FJ18"/>
      <c r="FK18"/>
      <c r="FL18"/>
      <c r="FM18"/>
      <c r="FN18"/>
      <c r="FO18"/>
      <c r="FP18"/>
      <c r="FQ18"/>
      <c r="FR18"/>
      <c r="FS18"/>
      <c r="FT18"/>
      <c r="FU18"/>
      <c r="FV18"/>
      <c r="FW18"/>
      <c r="FX18"/>
      <c r="FY18"/>
      <c r="FZ18"/>
      <c r="GA18"/>
      <c r="GB18"/>
      <c r="GC18"/>
      <c r="GD18"/>
      <c r="GE18"/>
      <c r="GF18"/>
      <c r="GG18"/>
      <c r="GH18"/>
      <c r="GI18"/>
      <c r="GJ18"/>
      <c r="GK18"/>
    </row>
    <row r="19" spans="1:193" ht="18" hidden="1" customHeight="1" x14ac:dyDescent="0.25">
      <c r="A19" s="9" t="s">
        <v>22</v>
      </c>
      <c r="B19" s="9">
        <v>48</v>
      </c>
      <c r="C19" s="9">
        <v>2</v>
      </c>
      <c r="D19" s="9">
        <v>26</v>
      </c>
      <c r="E19" s="9">
        <v>20</v>
      </c>
      <c r="F19" s="9">
        <v>398312</v>
      </c>
      <c r="G19" s="9" t="s">
        <v>198</v>
      </c>
      <c r="H19" s="10">
        <v>43913</v>
      </c>
      <c r="I19" s="15">
        <f t="shared" si="0"/>
        <v>4.1666666666666664E-2</v>
      </c>
      <c r="J19" s="15">
        <f t="shared" si="1"/>
        <v>0.54166666666666663</v>
      </c>
      <c r="K19" s="18">
        <f t="shared" si="2"/>
        <v>1.2050854606439174E-4</v>
      </c>
      <c r="L19" s="9" t="str" cm="1">
        <f t="array" ref="L19">_xlfn.IFS(I19&gt;5%,"High Risk",AND(I19&gt;2%,I19&lt;5%),"Modrate Risk",I19&lt;2%, "Low Risk")</f>
        <v>Modrate Risk</v>
      </c>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c r="BC19"/>
      <c r="BD19"/>
      <c r="BE19"/>
      <c r="BF19"/>
      <c r="BG19"/>
      <c r="BH19"/>
      <c r="BI19"/>
      <c r="BJ19"/>
      <c r="BK19"/>
      <c r="BL19"/>
      <c r="BM19"/>
      <c r="BN19"/>
      <c r="BO19"/>
      <c r="BP19"/>
      <c r="BQ19"/>
      <c r="BR19"/>
      <c r="BS19"/>
      <c r="BT19"/>
      <c r="BU19"/>
      <c r="BV19"/>
      <c r="BW19"/>
      <c r="BX19"/>
      <c r="BY19"/>
      <c r="BZ19"/>
      <c r="CA19"/>
      <c r="CB19"/>
      <c r="CC19"/>
      <c r="CD19"/>
      <c r="CE19"/>
      <c r="CF19"/>
      <c r="CG19"/>
      <c r="CH19"/>
      <c r="CI19"/>
      <c r="CJ19"/>
      <c r="CK19"/>
      <c r="CL19"/>
      <c r="CM19"/>
      <c r="CN19"/>
      <c r="CO19"/>
      <c r="CP19"/>
      <c r="CQ19"/>
      <c r="CR19"/>
      <c r="CS19"/>
      <c r="CT19"/>
      <c r="CU19"/>
      <c r="CV19"/>
      <c r="CW19"/>
      <c r="CX19"/>
      <c r="CY19"/>
      <c r="CZ19"/>
      <c r="DA19"/>
      <c r="DB19"/>
      <c r="DC19"/>
      <c r="DD19"/>
      <c r="DE19"/>
      <c r="DF19"/>
      <c r="DG19"/>
      <c r="DH19"/>
      <c r="DI19"/>
      <c r="DJ19"/>
      <c r="DK19"/>
      <c r="DL19"/>
      <c r="DM19"/>
      <c r="DN19"/>
      <c r="DO19"/>
      <c r="DP19"/>
      <c r="DQ19"/>
      <c r="DR19"/>
      <c r="DS19"/>
      <c r="DT19"/>
      <c r="DU19"/>
      <c r="DV19"/>
      <c r="DW19"/>
      <c r="DX19"/>
      <c r="DY19"/>
      <c r="DZ19"/>
      <c r="EA19"/>
      <c r="EB19"/>
      <c r="EC19"/>
      <c r="ED19"/>
      <c r="EE19"/>
      <c r="EF19"/>
      <c r="EG19"/>
      <c r="EH19"/>
      <c r="EI19"/>
      <c r="EJ19"/>
      <c r="EK19"/>
      <c r="EL19"/>
      <c r="EM19"/>
      <c r="EN19"/>
      <c r="EO19"/>
      <c r="EP19"/>
      <c r="EQ19"/>
      <c r="ER19"/>
      <c r="ES19"/>
      <c r="ET19"/>
      <c r="EU19"/>
      <c r="EV19"/>
      <c r="EW19"/>
      <c r="EX19"/>
      <c r="EY19"/>
      <c r="EZ19"/>
      <c r="FA19"/>
      <c r="FB19"/>
      <c r="FC19"/>
      <c r="FD19"/>
      <c r="FE19"/>
      <c r="FF19"/>
      <c r="FG19"/>
      <c r="FH19"/>
      <c r="FI19"/>
      <c r="FJ19"/>
      <c r="FK19"/>
      <c r="FL19"/>
      <c r="FM19"/>
      <c r="FN19"/>
      <c r="FO19"/>
      <c r="FP19"/>
      <c r="FQ19"/>
      <c r="FR19"/>
      <c r="FS19"/>
      <c r="FT19"/>
      <c r="FU19"/>
      <c r="FV19"/>
      <c r="FW19"/>
      <c r="FX19"/>
      <c r="FY19"/>
      <c r="FZ19"/>
      <c r="GA19"/>
      <c r="GB19"/>
      <c r="GC19"/>
      <c r="GD19"/>
      <c r="GE19"/>
      <c r="GF19"/>
      <c r="GG19"/>
      <c r="GH19"/>
      <c r="GI19"/>
      <c r="GJ19"/>
      <c r="GK19"/>
    </row>
    <row r="20" spans="1:193" ht="18" hidden="1" customHeight="1" x14ac:dyDescent="0.25">
      <c r="A20" s="8" t="s">
        <v>23</v>
      </c>
      <c r="B20" s="8">
        <v>1770</v>
      </c>
      <c r="C20" s="8">
        <v>35</v>
      </c>
      <c r="D20" s="8">
        <v>1036</v>
      </c>
      <c r="E20" s="8">
        <v>699</v>
      </c>
      <c r="F20" s="8">
        <v>12151976</v>
      </c>
      <c r="G20" s="8" t="s">
        <v>197</v>
      </c>
      <c r="H20" s="1">
        <v>43906</v>
      </c>
      <c r="I20" s="14">
        <f t="shared" si="0"/>
        <v>1.977401129943503E-2</v>
      </c>
      <c r="J20" s="14">
        <f t="shared" si="1"/>
        <v>0.58531073446327686</v>
      </c>
      <c r="K20" s="17">
        <f t="shared" si="2"/>
        <v>1.4565532387489903E-4</v>
      </c>
      <c r="L20" s="8" t="str" cm="1">
        <f t="array" ref="L20">_xlfn.IFS(I20&gt;5%,"High Risk",AND(I20&gt;2%,I20&lt;5%),"Modrate Risk",I20&lt;2%, "Low Risk")</f>
        <v>Low Risk</v>
      </c>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c r="BC20"/>
      <c r="BD20"/>
      <c r="BE20"/>
      <c r="BF20"/>
      <c r="BG20"/>
      <c r="BH20"/>
      <c r="BI20"/>
      <c r="BJ20"/>
      <c r="BK20"/>
      <c r="BL20"/>
      <c r="BM20"/>
      <c r="BN20"/>
      <c r="BO20"/>
      <c r="BP20"/>
      <c r="BQ20"/>
      <c r="BR20"/>
      <c r="BS20"/>
      <c r="BT20"/>
      <c r="BU20"/>
      <c r="BV20"/>
      <c r="BW20"/>
      <c r="BX20"/>
      <c r="BY20"/>
      <c r="BZ20"/>
      <c r="CA20"/>
      <c r="CB20"/>
      <c r="CC20"/>
      <c r="CD20"/>
      <c r="CE20"/>
      <c r="CF20"/>
      <c r="CG20"/>
      <c r="CH20"/>
      <c r="CI20"/>
      <c r="CJ20"/>
      <c r="CK20"/>
      <c r="CL20"/>
      <c r="CM20"/>
      <c r="CN20"/>
      <c r="CO20"/>
      <c r="CP20"/>
      <c r="CQ20"/>
      <c r="CR20"/>
      <c r="CS20"/>
      <c r="CT20"/>
      <c r="CU20"/>
      <c r="CV20"/>
      <c r="CW20"/>
      <c r="CX20"/>
      <c r="CY20"/>
      <c r="CZ20"/>
      <c r="DA20"/>
      <c r="DB20"/>
      <c r="DC20"/>
      <c r="DD20"/>
      <c r="DE20"/>
      <c r="DF20"/>
      <c r="DG20"/>
      <c r="DH20"/>
      <c r="DI20"/>
      <c r="DJ20"/>
      <c r="DK20"/>
      <c r="DL20"/>
      <c r="DM20"/>
      <c r="DN20"/>
      <c r="DO20"/>
      <c r="DP20"/>
      <c r="DQ20"/>
      <c r="DR20"/>
      <c r="DS20"/>
      <c r="DT20"/>
      <c r="DU20"/>
      <c r="DV20"/>
      <c r="DW20"/>
      <c r="DX20"/>
      <c r="DY20"/>
      <c r="DZ20"/>
      <c r="EA20"/>
      <c r="EB20"/>
      <c r="EC20"/>
      <c r="ED20"/>
      <c r="EE20"/>
      <c r="EF20"/>
      <c r="EG20"/>
      <c r="EH20"/>
      <c r="EI20"/>
      <c r="EJ20"/>
      <c r="EK20"/>
      <c r="EL20"/>
      <c r="EM20"/>
      <c r="EN20"/>
      <c r="EO20"/>
      <c r="EP20"/>
      <c r="EQ20"/>
      <c r="ER20"/>
      <c r="ES20"/>
      <c r="ET20"/>
      <c r="EU20"/>
      <c r="EV20"/>
      <c r="EW20"/>
      <c r="EX20"/>
      <c r="EY20"/>
      <c r="EZ20"/>
      <c r="FA20"/>
      <c r="FB20"/>
      <c r="FC20"/>
      <c r="FD20"/>
      <c r="FE20"/>
      <c r="FF20"/>
      <c r="FG20"/>
      <c r="FH20"/>
      <c r="FI20"/>
      <c r="FJ20"/>
      <c r="FK20"/>
      <c r="FL20"/>
      <c r="FM20"/>
      <c r="FN20"/>
      <c r="FO20"/>
      <c r="FP20"/>
      <c r="FQ20"/>
      <c r="FR20"/>
      <c r="FS20"/>
      <c r="FT20"/>
      <c r="FU20"/>
      <c r="FV20"/>
      <c r="FW20"/>
      <c r="FX20"/>
      <c r="FY20"/>
      <c r="FZ20"/>
      <c r="GA20"/>
      <c r="GB20"/>
      <c r="GC20"/>
      <c r="GD20"/>
      <c r="GE20"/>
      <c r="GF20"/>
      <c r="GG20"/>
      <c r="GH20"/>
      <c r="GI20"/>
      <c r="GJ20"/>
      <c r="GK20"/>
    </row>
    <row r="21" spans="1:193" ht="18" hidden="1" customHeight="1" x14ac:dyDescent="0.25">
      <c r="A21" s="9" t="s">
        <v>24</v>
      </c>
      <c r="B21" s="9">
        <v>99</v>
      </c>
      <c r="C21" s="9">
        <v>0</v>
      </c>
      <c r="D21" s="9">
        <v>86</v>
      </c>
      <c r="E21" s="9">
        <v>13</v>
      </c>
      <c r="F21" s="9">
        <v>772443</v>
      </c>
      <c r="G21" s="9" t="s">
        <v>195</v>
      </c>
      <c r="H21" s="10">
        <v>43896</v>
      </c>
      <c r="I21" s="15">
        <f t="shared" si="0"/>
        <v>0</v>
      </c>
      <c r="J21" s="15">
        <f t="shared" si="1"/>
        <v>0.86868686868686873</v>
      </c>
      <c r="K21" s="18">
        <f t="shared" si="2"/>
        <v>1.2816479662577045E-4</v>
      </c>
      <c r="L21" s="9" t="str" cm="1">
        <f t="array" ref="L21">_xlfn.IFS(I21&gt;5%,"High Risk",AND(I21&gt;2%,I21&lt;5%),"Modrate Risk",I21&lt;2%, "Low Risk")</f>
        <v>Low Risk</v>
      </c>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c r="BC21"/>
      <c r="BD21"/>
      <c r="BE21"/>
      <c r="BF21"/>
      <c r="BG21"/>
      <c r="BH21"/>
      <c r="BI21"/>
      <c r="BJ21"/>
      <c r="BK21"/>
      <c r="BL21"/>
      <c r="BM21"/>
      <c r="BN21"/>
      <c r="BO21"/>
      <c r="BP21"/>
      <c r="BQ21"/>
      <c r="BR21"/>
      <c r="BS21"/>
      <c r="BT21"/>
      <c r="BU21"/>
      <c r="BV21"/>
      <c r="BW21"/>
      <c r="BX21"/>
      <c r="BY21"/>
      <c r="BZ21"/>
      <c r="CA21"/>
      <c r="CB21"/>
      <c r="CC21"/>
      <c r="CD21"/>
      <c r="CE21"/>
      <c r="CF21"/>
      <c r="CG21"/>
      <c r="CH21"/>
      <c r="CI21"/>
      <c r="CJ21"/>
      <c r="CK21"/>
      <c r="CL21"/>
      <c r="CM21"/>
      <c r="CN21"/>
      <c r="CO21"/>
      <c r="CP21"/>
      <c r="CQ21"/>
      <c r="CR21"/>
      <c r="CS21"/>
      <c r="CT21"/>
      <c r="CU21"/>
      <c r="CV21"/>
      <c r="CW21"/>
      <c r="CX21"/>
      <c r="CY21"/>
      <c r="CZ21"/>
      <c r="DA21"/>
      <c r="DB21"/>
      <c r="DC21"/>
      <c r="DD21"/>
      <c r="DE21"/>
      <c r="DF21"/>
      <c r="DG21"/>
      <c r="DH21"/>
      <c r="DI21"/>
      <c r="DJ21"/>
      <c r="DK21"/>
      <c r="DL21"/>
      <c r="DM21"/>
      <c r="DN21"/>
      <c r="DO21"/>
      <c r="DP21"/>
      <c r="DQ21"/>
      <c r="DR21"/>
      <c r="DS21"/>
      <c r="DT21"/>
      <c r="DU21"/>
      <c r="DV21"/>
      <c r="DW21"/>
      <c r="DX21"/>
      <c r="DY21"/>
      <c r="DZ21"/>
      <c r="EA21"/>
      <c r="EB21"/>
      <c r="EC21"/>
      <c r="ED21"/>
      <c r="EE21"/>
      <c r="EF21"/>
      <c r="EG21"/>
      <c r="EH21"/>
      <c r="EI21"/>
      <c r="EJ21"/>
      <c r="EK21"/>
      <c r="EL21"/>
      <c r="EM21"/>
      <c r="EN21"/>
      <c r="EO21"/>
      <c r="EP21"/>
      <c r="EQ21"/>
      <c r="ER21"/>
      <c r="ES21"/>
      <c r="ET21"/>
      <c r="EU21"/>
      <c r="EV21"/>
      <c r="EW21"/>
      <c r="EX21"/>
      <c r="EY21"/>
      <c r="EZ21"/>
      <c r="FA21"/>
      <c r="FB21"/>
      <c r="FC21"/>
      <c r="FD21"/>
      <c r="FE21"/>
      <c r="FF21"/>
      <c r="FG21"/>
      <c r="FH21"/>
      <c r="FI21"/>
      <c r="FJ21"/>
      <c r="FK21"/>
      <c r="FL21"/>
      <c r="FM21"/>
      <c r="FN21"/>
      <c r="FO21"/>
      <c r="FP21"/>
      <c r="FQ21"/>
      <c r="FR21"/>
      <c r="FS21"/>
      <c r="FT21"/>
      <c r="FU21"/>
      <c r="FV21"/>
      <c r="FW21"/>
      <c r="FX21"/>
      <c r="FY21"/>
      <c r="FZ21"/>
      <c r="GA21"/>
      <c r="GB21"/>
      <c r="GC21"/>
      <c r="GD21"/>
      <c r="GE21"/>
      <c r="GF21"/>
      <c r="GG21"/>
      <c r="GH21"/>
      <c r="GI21"/>
      <c r="GJ21"/>
      <c r="GK21"/>
    </row>
    <row r="22" spans="1:193" ht="18" hidden="1" customHeight="1" x14ac:dyDescent="0.25">
      <c r="A22" s="8" t="s">
        <v>25</v>
      </c>
      <c r="B22" s="8">
        <v>71181</v>
      </c>
      <c r="C22" s="8">
        <v>2647</v>
      </c>
      <c r="D22" s="8">
        <v>21478</v>
      </c>
      <c r="E22" s="8">
        <v>47056</v>
      </c>
      <c r="F22" s="8">
        <v>11688459</v>
      </c>
      <c r="G22" s="8" t="s">
        <v>199</v>
      </c>
      <c r="H22" s="1">
        <v>43900</v>
      </c>
      <c r="I22" s="14">
        <f t="shared" si="0"/>
        <v>3.7186889759907839E-2</v>
      </c>
      <c r="J22" s="14">
        <f t="shared" si="1"/>
        <v>0.30173782329554233</v>
      </c>
      <c r="K22" s="17">
        <f t="shared" si="2"/>
        <v>6.0898532475495704E-3</v>
      </c>
      <c r="L22" s="8" t="str" cm="1">
        <f t="array" ref="L22">_xlfn.IFS(I22&gt;5%,"High Risk",AND(I22&gt;2%,I22&lt;5%),"Modrate Risk",I22&lt;2%, "Low Risk")</f>
        <v>Modrate Risk</v>
      </c>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c r="BC22"/>
      <c r="BD22"/>
      <c r="BE22"/>
      <c r="BF22"/>
      <c r="BG22"/>
      <c r="BH22"/>
      <c r="BI22"/>
      <c r="BJ22"/>
      <c r="BK22"/>
      <c r="BL22"/>
      <c r="BM22"/>
      <c r="BN22"/>
      <c r="BO22"/>
      <c r="BP22"/>
      <c r="BQ22"/>
      <c r="BR22"/>
      <c r="BS22"/>
      <c r="BT22"/>
      <c r="BU22"/>
      <c r="BV22"/>
      <c r="BW22"/>
      <c r="BX22"/>
      <c r="BY22"/>
      <c r="BZ22"/>
      <c r="CA22"/>
      <c r="CB22"/>
      <c r="CC22"/>
      <c r="CD22"/>
      <c r="CE22"/>
      <c r="CF22"/>
      <c r="CG22"/>
      <c r="CH22"/>
      <c r="CI22"/>
      <c r="CJ22"/>
      <c r="CK22"/>
      <c r="CL22"/>
      <c r="CM22"/>
      <c r="CN22"/>
      <c r="CO22"/>
      <c r="CP22"/>
      <c r="CQ22"/>
      <c r="CR22"/>
      <c r="CS22"/>
      <c r="CT22"/>
      <c r="CU22"/>
      <c r="CV22"/>
      <c r="CW22"/>
      <c r="CX22"/>
      <c r="CY22"/>
      <c r="CZ22"/>
      <c r="DA22"/>
      <c r="DB22"/>
      <c r="DC22"/>
      <c r="DD22"/>
      <c r="DE22"/>
      <c r="DF22"/>
      <c r="DG22"/>
      <c r="DH22"/>
      <c r="DI22"/>
      <c r="DJ22"/>
      <c r="DK22"/>
      <c r="DL22"/>
      <c r="DM22"/>
      <c r="DN22"/>
      <c r="DO22"/>
      <c r="DP22"/>
      <c r="DQ22"/>
      <c r="DR22"/>
      <c r="DS22"/>
      <c r="DT22"/>
      <c r="DU22"/>
      <c r="DV22"/>
      <c r="DW22"/>
      <c r="DX22"/>
      <c r="DY22"/>
      <c r="DZ22"/>
      <c r="EA22"/>
      <c r="EB22"/>
      <c r="EC22"/>
      <c r="ED22"/>
      <c r="EE22"/>
      <c r="EF22"/>
      <c r="EG22"/>
      <c r="EH22"/>
      <c r="EI22"/>
      <c r="EJ22"/>
      <c r="EK22"/>
      <c r="EL22"/>
      <c r="EM22"/>
      <c r="EN22"/>
      <c r="EO22"/>
      <c r="EP22"/>
      <c r="EQ22"/>
      <c r="ER22"/>
      <c r="ES22"/>
      <c r="ET22"/>
      <c r="EU22"/>
      <c r="EV22"/>
      <c r="EW22"/>
      <c r="EX22"/>
      <c r="EY22"/>
      <c r="EZ22"/>
      <c r="FA22"/>
      <c r="FB22"/>
      <c r="FC22"/>
      <c r="FD22"/>
      <c r="FE22"/>
      <c r="FF22"/>
      <c r="FG22"/>
      <c r="FH22"/>
      <c r="FI22"/>
      <c r="FJ22"/>
      <c r="FK22"/>
      <c r="FL22"/>
      <c r="FM22"/>
      <c r="FN22"/>
      <c r="FO22"/>
      <c r="FP22"/>
      <c r="FQ22"/>
      <c r="FR22"/>
      <c r="FS22"/>
      <c r="FT22"/>
      <c r="FU22"/>
      <c r="FV22"/>
      <c r="FW22"/>
      <c r="FX22"/>
      <c r="FY22"/>
      <c r="FZ22"/>
      <c r="GA22"/>
      <c r="GB22"/>
      <c r="GC22"/>
      <c r="GD22"/>
      <c r="GE22"/>
      <c r="GF22"/>
      <c r="GG22"/>
      <c r="GH22"/>
      <c r="GI22"/>
      <c r="GJ22"/>
      <c r="GK22"/>
    </row>
    <row r="23" spans="1:193" ht="18" hidden="1" customHeight="1" x14ac:dyDescent="0.25">
      <c r="A23" s="9" t="s">
        <v>26</v>
      </c>
      <c r="B23" s="9">
        <v>10498</v>
      </c>
      <c r="C23" s="9">
        <v>294</v>
      </c>
      <c r="D23" s="9">
        <v>4930</v>
      </c>
      <c r="E23" s="9">
        <v>5274</v>
      </c>
      <c r="F23" s="9">
        <v>3278650</v>
      </c>
      <c r="G23" s="9" t="s">
        <v>196</v>
      </c>
      <c r="H23" s="10">
        <v>43895</v>
      </c>
      <c r="I23" s="15">
        <f t="shared" si="0"/>
        <v>2.8005334349399887E-2</v>
      </c>
      <c r="J23" s="15">
        <f t="shared" si="1"/>
        <v>0.46961325966850831</v>
      </c>
      <c r="K23" s="18">
        <f t="shared" si="2"/>
        <v>3.2019276226495663E-3</v>
      </c>
      <c r="L23" s="9" t="str" cm="1">
        <f t="array" ref="L23">_xlfn.IFS(I23&gt;5%,"High Risk",AND(I23&gt;2%,I23&lt;5%),"Modrate Risk",I23&lt;2%, "Low Risk")</f>
        <v>Modrate Risk</v>
      </c>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c r="BK23"/>
      <c r="BL23"/>
      <c r="BM23"/>
      <c r="BN23"/>
      <c r="BO23"/>
      <c r="BP23"/>
      <c r="BQ23"/>
      <c r="BR23"/>
      <c r="BS23"/>
      <c r="BT23"/>
      <c r="BU23"/>
      <c r="BV23"/>
      <c r="BW23"/>
      <c r="BX23"/>
      <c r="BY23"/>
      <c r="BZ23"/>
      <c r="CA23"/>
      <c r="CB23"/>
      <c r="CC23"/>
      <c r="CD23"/>
      <c r="CE23"/>
      <c r="CF23"/>
      <c r="CG23"/>
      <c r="CH23"/>
      <c r="CI23"/>
      <c r="CJ23"/>
      <c r="CK23"/>
      <c r="CL23"/>
      <c r="CM23"/>
      <c r="CN23"/>
      <c r="CO23"/>
      <c r="CP23"/>
      <c r="CQ23"/>
      <c r="CR23"/>
      <c r="CS23"/>
      <c r="CT23"/>
      <c r="CU23"/>
      <c r="CV23"/>
      <c r="CW23"/>
      <c r="CX23"/>
      <c r="CY23"/>
      <c r="CZ23"/>
      <c r="DA23"/>
      <c r="DB23"/>
      <c r="DC23"/>
      <c r="DD23"/>
      <c r="DE23"/>
      <c r="DF23"/>
      <c r="DG23"/>
      <c r="DH23"/>
      <c r="DI23"/>
      <c r="DJ23"/>
      <c r="DK23"/>
      <c r="DL23"/>
      <c r="DM23"/>
      <c r="DN23"/>
      <c r="DO23"/>
      <c r="DP23"/>
      <c r="DQ23"/>
      <c r="DR23"/>
      <c r="DS23"/>
      <c r="DT23"/>
      <c r="DU23"/>
      <c r="DV23"/>
      <c r="DW23"/>
      <c r="DX23"/>
      <c r="DY23"/>
      <c r="DZ23"/>
      <c r="EA23"/>
      <c r="EB23"/>
      <c r="EC23"/>
      <c r="ED23"/>
      <c r="EE23"/>
      <c r="EF23"/>
      <c r="EG23"/>
      <c r="EH23"/>
      <c r="EI23"/>
      <c r="EJ23"/>
      <c r="EK23"/>
      <c r="EL23"/>
      <c r="EM23"/>
      <c r="EN23"/>
      <c r="EO23"/>
      <c r="EP23"/>
      <c r="EQ23"/>
      <c r="ER23"/>
      <c r="ES23"/>
      <c r="ET23"/>
      <c r="EU23"/>
      <c r="EV23"/>
      <c r="EW23"/>
      <c r="EX23"/>
      <c r="EY23"/>
      <c r="EZ23"/>
      <c r="FA23"/>
      <c r="FB23"/>
      <c r="FC23"/>
      <c r="FD23"/>
      <c r="FE23"/>
      <c r="FF23"/>
      <c r="FG23"/>
      <c r="FH23"/>
      <c r="FI23"/>
      <c r="FJ23"/>
      <c r="FK23"/>
      <c r="FL23"/>
      <c r="FM23"/>
      <c r="FN23"/>
      <c r="FO23"/>
      <c r="FP23"/>
      <c r="FQ23"/>
      <c r="FR23"/>
      <c r="FS23"/>
      <c r="FT23"/>
      <c r="FU23"/>
      <c r="FV23"/>
      <c r="FW23"/>
      <c r="FX23"/>
      <c r="FY23"/>
      <c r="FZ23"/>
      <c r="GA23"/>
      <c r="GB23"/>
      <c r="GC23"/>
      <c r="GD23"/>
      <c r="GE23"/>
      <c r="GF23"/>
      <c r="GG23"/>
      <c r="GH23"/>
      <c r="GI23"/>
      <c r="GJ23"/>
      <c r="GK23"/>
    </row>
    <row r="24" spans="1:193" ht="18" hidden="1" customHeight="1" x14ac:dyDescent="0.25">
      <c r="A24" s="8" t="s">
        <v>27</v>
      </c>
      <c r="B24" s="8">
        <v>739</v>
      </c>
      <c r="C24" s="8">
        <v>2</v>
      </c>
      <c r="D24" s="8">
        <v>63</v>
      </c>
      <c r="E24" s="8">
        <v>674</v>
      </c>
      <c r="F24" s="8">
        <v>2356075</v>
      </c>
      <c r="G24" s="8" t="s">
        <v>197</v>
      </c>
      <c r="H24" s="1">
        <v>43920</v>
      </c>
      <c r="I24" s="14">
        <f t="shared" si="0"/>
        <v>2.7063599458728013E-3</v>
      </c>
      <c r="J24" s="14">
        <f t="shared" si="1"/>
        <v>8.5250338294993233E-2</v>
      </c>
      <c r="K24" s="17">
        <f t="shared" si="2"/>
        <v>3.1365724775314879E-4</v>
      </c>
      <c r="L24" s="8" t="str" cm="1">
        <f t="array" ref="L24">_xlfn.IFS(I24&gt;5%,"High Risk",AND(I24&gt;2%,I24&lt;5%),"Modrate Risk",I24&lt;2%, "Low Risk")</f>
        <v>Low Risk</v>
      </c>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c r="BC24"/>
      <c r="BD24"/>
      <c r="BE24"/>
      <c r="BF24"/>
      <c r="BG24"/>
      <c r="BH24"/>
      <c r="BI24"/>
      <c r="BJ24"/>
      <c r="BK24"/>
      <c r="BL24"/>
      <c r="BM24"/>
      <c r="BN24"/>
      <c r="BO24"/>
      <c r="BP24"/>
      <c r="BQ24"/>
      <c r="BR24"/>
      <c r="BS24"/>
      <c r="BT24"/>
      <c r="BU24"/>
      <c r="BV24"/>
      <c r="BW24"/>
      <c r="BX24"/>
      <c r="BY24"/>
      <c r="BZ24"/>
      <c r="CA24"/>
      <c r="CB24"/>
      <c r="CC24"/>
      <c r="CD24"/>
      <c r="CE24"/>
      <c r="CF24"/>
      <c r="CG24"/>
      <c r="CH24"/>
      <c r="CI24"/>
      <c r="CJ24"/>
      <c r="CK24"/>
      <c r="CL24"/>
      <c r="CM24"/>
      <c r="CN24"/>
      <c r="CO24"/>
      <c r="CP24"/>
      <c r="CQ24"/>
      <c r="CR24"/>
      <c r="CS24"/>
      <c r="CT24"/>
      <c r="CU24"/>
      <c r="CV24"/>
      <c r="CW24"/>
      <c r="CX24"/>
      <c r="CY24"/>
      <c r="CZ24"/>
      <c r="DA24"/>
      <c r="DB24"/>
      <c r="DC24"/>
      <c r="DD24"/>
      <c r="DE24"/>
      <c r="DF24"/>
      <c r="DG24"/>
      <c r="DH24"/>
      <c r="DI24"/>
      <c r="DJ24"/>
      <c r="DK24"/>
      <c r="DL24"/>
      <c r="DM24"/>
      <c r="DN24"/>
      <c r="DO24"/>
      <c r="DP24"/>
      <c r="DQ24"/>
      <c r="DR24"/>
      <c r="DS24"/>
      <c r="DT24"/>
      <c r="DU24"/>
      <c r="DV24"/>
      <c r="DW24"/>
      <c r="DX24"/>
      <c r="DY24"/>
      <c r="DZ24"/>
      <c r="EA24"/>
      <c r="EB24"/>
      <c r="EC24"/>
      <c r="ED24"/>
      <c r="EE24"/>
      <c r="EF24"/>
      <c r="EG24"/>
      <c r="EH24"/>
      <c r="EI24"/>
      <c r="EJ24"/>
      <c r="EK24"/>
      <c r="EL24"/>
      <c r="EM24"/>
      <c r="EN24"/>
      <c r="EO24"/>
      <c r="EP24"/>
      <c r="EQ24"/>
      <c r="ER24"/>
      <c r="ES24"/>
      <c r="ET24"/>
      <c r="EU24"/>
      <c r="EV24"/>
      <c r="EW24"/>
      <c r="EX24"/>
      <c r="EY24"/>
      <c r="EZ24"/>
      <c r="FA24"/>
      <c r="FB24"/>
      <c r="FC24"/>
      <c r="FD24"/>
      <c r="FE24"/>
      <c r="FF24"/>
      <c r="FG24"/>
      <c r="FH24"/>
      <c r="FI24"/>
      <c r="FJ24"/>
      <c r="FK24"/>
      <c r="FL24"/>
      <c r="FM24"/>
      <c r="FN24"/>
      <c r="FO24"/>
      <c r="FP24"/>
      <c r="FQ24"/>
      <c r="FR24"/>
      <c r="FS24"/>
      <c r="FT24"/>
      <c r="FU24"/>
      <c r="FV24"/>
      <c r="FW24"/>
      <c r="FX24"/>
      <c r="FY24"/>
      <c r="FZ24"/>
      <c r="GA24"/>
      <c r="GB24"/>
      <c r="GC24"/>
      <c r="GD24"/>
      <c r="GE24"/>
      <c r="GF24"/>
      <c r="GG24"/>
      <c r="GH24"/>
      <c r="GI24"/>
      <c r="GJ24"/>
      <c r="GK24"/>
    </row>
    <row r="25" spans="1:193" ht="18" customHeight="1" x14ac:dyDescent="0.25">
      <c r="A25" s="9" t="s">
        <v>28</v>
      </c>
      <c r="B25" s="9">
        <v>2442375</v>
      </c>
      <c r="C25" s="9">
        <v>87618</v>
      </c>
      <c r="D25" s="9">
        <v>1846641</v>
      </c>
      <c r="E25" s="9">
        <v>508116</v>
      </c>
      <c r="F25" s="9">
        <v>212710692</v>
      </c>
      <c r="G25" s="9" t="s">
        <v>199</v>
      </c>
      <c r="H25" s="10">
        <v>43887</v>
      </c>
      <c r="I25" s="15">
        <f t="shared" si="0"/>
        <v>3.5874097957930291E-2</v>
      </c>
      <c r="J25" s="15">
        <f t="shared" si="1"/>
        <v>0.75608413941348074</v>
      </c>
      <c r="K25" s="18">
        <f t="shared" si="2"/>
        <v>1.1482144959596107E-2</v>
      </c>
      <c r="L25" s="9" t="str" cm="1">
        <f t="array" ref="L25">_xlfn.IFS(I25&gt;5%,"High Risk",AND(I25&gt;2%,I25&lt;5%),"Modrate Risk",I25&lt;2%, "Low Risk")</f>
        <v>Modrate Risk</v>
      </c>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c r="BC25"/>
      <c r="BD25"/>
      <c r="BE25"/>
      <c r="BF25"/>
      <c r="BG25"/>
      <c r="BH25"/>
      <c r="BI25"/>
      <c r="BJ25"/>
      <c r="BK25"/>
      <c r="BL25"/>
      <c r="BM25"/>
      <c r="BN25"/>
      <c r="BO25"/>
      <c r="BP25"/>
      <c r="BQ25"/>
      <c r="BR25"/>
      <c r="BS25"/>
      <c r="BT25"/>
      <c r="BU25"/>
      <c r="BV25"/>
      <c r="BW25"/>
      <c r="BX25"/>
      <c r="BY25"/>
      <c r="BZ25"/>
      <c r="CA25"/>
      <c r="CB25"/>
      <c r="CC25"/>
      <c r="CD25"/>
      <c r="CE25"/>
      <c r="CF25"/>
      <c r="CG25"/>
      <c r="CH25"/>
      <c r="CI25"/>
      <c r="CJ25"/>
      <c r="CK25"/>
      <c r="CL25"/>
      <c r="CM25"/>
      <c r="CN25"/>
      <c r="CO25"/>
      <c r="CP25"/>
      <c r="CQ25"/>
      <c r="CR25"/>
      <c r="CS25"/>
      <c r="CT25"/>
      <c r="CU25"/>
      <c r="CV25"/>
      <c r="CW25"/>
      <c r="CX25"/>
      <c r="CY25"/>
      <c r="CZ25"/>
      <c r="DA25"/>
      <c r="DB25"/>
      <c r="DC25"/>
      <c r="DD25"/>
      <c r="DE25"/>
      <c r="DF25"/>
      <c r="DG25"/>
      <c r="DH25"/>
      <c r="DI25"/>
      <c r="DJ25"/>
      <c r="DK25"/>
      <c r="DL25"/>
      <c r="DM25"/>
      <c r="DN25"/>
      <c r="DO25"/>
      <c r="DP25"/>
      <c r="DQ25"/>
      <c r="DR25"/>
      <c r="DS25"/>
      <c r="DT25"/>
      <c r="DU25"/>
      <c r="DV25"/>
      <c r="DW25"/>
      <c r="DX25"/>
      <c r="DY25"/>
      <c r="DZ25"/>
      <c r="EA25"/>
      <c r="EB25"/>
      <c r="EC25"/>
      <c r="ED25"/>
      <c r="EE25"/>
      <c r="EF25"/>
      <c r="EG25"/>
      <c r="EH25"/>
      <c r="EI25"/>
      <c r="EJ25"/>
      <c r="EK25"/>
      <c r="EL25"/>
      <c r="EM25"/>
      <c r="EN25"/>
      <c r="EO25"/>
      <c r="EP25"/>
      <c r="EQ25"/>
      <c r="ER25"/>
      <c r="ES25"/>
      <c r="ET25"/>
      <c r="EU25"/>
      <c r="EV25"/>
      <c r="EW25"/>
      <c r="EX25"/>
      <c r="EY25"/>
      <c r="EZ25"/>
      <c r="FA25"/>
      <c r="FB25"/>
      <c r="FC25"/>
      <c r="FD25"/>
      <c r="FE25"/>
      <c r="FF25"/>
      <c r="FG25"/>
      <c r="FH25"/>
      <c r="FI25"/>
      <c r="FJ25"/>
      <c r="FK25"/>
      <c r="FL25"/>
      <c r="FM25"/>
      <c r="FN25"/>
      <c r="FO25"/>
      <c r="FP25"/>
      <c r="FQ25"/>
      <c r="FR25"/>
      <c r="FS25"/>
      <c r="FT25"/>
      <c r="FU25"/>
      <c r="FV25"/>
      <c r="FW25"/>
      <c r="FX25"/>
      <c r="FY25"/>
      <c r="FZ25"/>
      <c r="GA25"/>
      <c r="GB25"/>
      <c r="GC25"/>
      <c r="GD25"/>
      <c r="GE25"/>
      <c r="GF25"/>
      <c r="GG25"/>
      <c r="GH25"/>
      <c r="GI25"/>
      <c r="GJ25"/>
      <c r="GK25"/>
    </row>
    <row r="26" spans="1:193" ht="18" hidden="1" customHeight="1" x14ac:dyDescent="0.25">
      <c r="A26" s="8" t="s">
        <v>29</v>
      </c>
      <c r="B26" s="8">
        <v>141</v>
      </c>
      <c r="C26" s="8">
        <v>3</v>
      </c>
      <c r="D26" s="8">
        <v>138</v>
      </c>
      <c r="E26" s="8">
        <v>0</v>
      </c>
      <c r="F26" s="8">
        <v>437893</v>
      </c>
      <c r="G26" s="8" t="s">
        <v>195</v>
      </c>
      <c r="H26" s="1">
        <v>43899</v>
      </c>
      <c r="I26" s="14">
        <f t="shared" si="0"/>
        <v>2.1276595744680851E-2</v>
      </c>
      <c r="J26" s="14">
        <f t="shared" si="1"/>
        <v>0.97872340425531912</v>
      </c>
      <c r="K26" s="17">
        <f t="shared" si="2"/>
        <v>3.2199646945715047E-4</v>
      </c>
      <c r="L26" s="8" t="str" cm="1">
        <f t="array" ref="L26">_xlfn.IFS(I26&gt;5%,"High Risk",AND(I26&gt;2%,I26&lt;5%),"Modrate Risk",I26&lt;2%, "Low Risk")</f>
        <v>Modrate Risk</v>
      </c>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c r="BC26"/>
      <c r="BD26"/>
      <c r="BE26"/>
      <c r="BF26"/>
      <c r="BG26"/>
      <c r="BH26"/>
      <c r="BI26"/>
      <c r="BJ26"/>
      <c r="BK26"/>
      <c r="BL26"/>
      <c r="BM26"/>
      <c r="BN26"/>
      <c r="BO26"/>
      <c r="BP26"/>
      <c r="BQ26"/>
      <c r="BR26"/>
      <c r="BS26"/>
      <c r="BT26"/>
      <c r="BU26"/>
      <c r="BV26"/>
      <c r="BW26"/>
      <c r="BX26"/>
      <c r="BY26"/>
      <c r="BZ26"/>
      <c r="CA26"/>
      <c r="CB26"/>
      <c r="CC26"/>
      <c r="CD26"/>
      <c r="CE26"/>
      <c r="CF26"/>
      <c r="CG26"/>
      <c r="CH26"/>
      <c r="CI26"/>
      <c r="CJ26"/>
      <c r="CK26"/>
      <c r="CL26"/>
      <c r="CM26"/>
      <c r="CN26"/>
      <c r="CO26"/>
      <c r="CP26"/>
      <c r="CQ26"/>
      <c r="CR26"/>
      <c r="CS26"/>
      <c r="CT26"/>
      <c r="CU26"/>
      <c r="CV26"/>
      <c r="CW26"/>
      <c r="CX26"/>
      <c r="CY26"/>
      <c r="CZ26"/>
      <c r="DA26"/>
      <c r="DB26"/>
      <c r="DC26"/>
      <c r="DD26"/>
      <c r="DE26"/>
      <c r="DF26"/>
      <c r="DG26"/>
      <c r="DH26"/>
      <c r="DI26"/>
      <c r="DJ26"/>
      <c r="DK26"/>
      <c r="DL26"/>
      <c r="DM26"/>
      <c r="DN26"/>
      <c r="DO26"/>
      <c r="DP26"/>
      <c r="DQ26"/>
      <c r="DR26"/>
      <c r="DS26"/>
      <c r="DT26"/>
      <c r="DU26"/>
      <c r="DV26"/>
      <c r="DW26"/>
      <c r="DX26"/>
      <c r="DY26"/>
      <c r="DZ26"/>
      <c r="EA26"/>
      <c r="EB26"/>
      <c r="EC26"/>
      <c r="ED26"/>
      <c r="EE26"/>
      <c r="EF26"/>
      <c r="EG26"/>
      <c r="EH26"/>
      <c r="EI26"/>
      <c r="EJ26"/>
      <c r="EK26"/>
      <c r="EL26"/>
      <c r="EM26"/>
      <c r="EN26"/>
      <c r="EO26"/>
      <c r="EP26"/>
      <c r="EQ26"/>
      <c r="ER26"/>
      <c r="ES26"/>
      <c r="ET26"/>
      <c r="EU26"/>
      <c r="EV26"/>
      <c r="EW26"/>
      <c r="EX26"/>
      <c r="EY26"/>
      <c r="EZ26"/>
      <c r="FA26"/>
      <c r="FB26"/>
      <c r="FC26"/>
      <c r="FD26"/>
      <c r="FE26"/>
      <c r="FF26"/>
      <c r="FG26"/>
      <c r="FH26"/>
      <c r="FI26"/>
      <c r="FJ26"/>
      <c r="FK26"/>
      <c r="FL26"/>
      <c r="FM26"/>
      <c r="FN26"/>
      <c r="FO26"/>
      <c r="FP26"/>
      <c r="FQ26"/>
      <c r="FR26"/>
      <c r="FS26"/>
      <c r="FT26"/>
      <c r="FU26"/>
      <c r="FV26"/>
      <c r="FW26"/>
      <c r="FX26"/>
      <c r="FY26"/>
      <c r="FZ26"/>
      <c r="GA26"/>
      <c r="GB26"/>
      <c r="GC26"/>
      <c r="GD26"/>
      <c r="GE26"/>
      <c r="GF26"/>
      <c r="GG26"/>
      <c r="GH26"/>
      <c r="GI26"/>
      <c r="GJ26"/>
      <c r="GK26"/>
    </row>
    <row r="27" spans="1:193" ht="18" hidden="1" customHeight="1" x14ac:dyDescent="0.25">
      <c r="A27" s="9" t="s">
        <v>30</v>
      </c>
      <c r="B27" s="9">
        <v>10621</v>
      </c>
      <c r="C27" s="9">
        <v>347</v>
      </c>
      <c r="D27" s="9">
        <v>5585</v>
      </c>
      <c r="E27" s="9">
        <v>4689</v>
      </c>
      <c r="F27" s="9">
        <v>6942854</v>
      </c>
      <c r="G27" s="9" t="s">
        <v>196</v>
      </c>
      <c r="H27" s="10">
        <v>43898</v>
      </c>
      <c r="I27" s="15">
        <f t="shared" si="0"/>
        <v>3.2671123246398641E-2</v>
      </c>
      <c r="J27" s="15">
        <f t="shared" si="1"/>
        <v>0.52584502400903865</v>
      </c>
      <c r="K27" s="18">
        <f t="shared" si="2"/>
        <v>1.5297743550418891E-3</v>
      </c>
      <c r="L27" s="9" t="str" cm="1">
        <f t="array" ref="L27">_xlfn.IFS(I27&gt;5%,"High Risk",AND(I27&gt;2%,I27&lt;5%),"Modrate Risk",I27&lt;2%, "Low Risk")</f>
        <v>Modrate Risk</v>
      </c>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c r="BC27"/>
      <c r="BD27"/>
      <c r="BE27"/>
      <c r="BF27"/>
      <c r="BG27"/>
      <c r="BH27"/>
      <c r="BI27"/>
      <c r="BJ27"/>
      <c r="BK27"/>
      <c r="BL27"/>
      <c r="BM27"/>
      <c r="BN27"/>
      <c r="BO27"/>
      <c r="BP27"/>
      <c r="BQ27"/>
      <c r="BR27"/>
      <c r="BS27"/>
      <c r="BT27"/>
      <c r="BU27"/>
      <c r="BV27"/>
      <c r="BW27"/>
      <c r="BX27"/>
      <c r="BY27"/>
      <c r="BZ27"/>
      <c r="CA27"/>
      <c r="CB27"/>
      <c r="CC27"/>
      <c r="CD27"/>
      <c r="CE27"/>
      <c r="CF27"/>
      <c r="CG27"/>
      <c r="CH27"/>
      <c r="CI27"/>
      <c r="CJ27"/>
      <c r="CK27"/>
      <c r="CL27"/>
      <c r="CM27"/>
      <c r="CN27"/>
      <c r="CO27"/>
      <c r="CP27"/>
      <c r="CQ27"/>
      <c r="CR27"/>
      <c r="CS27"/>
      <c r="CT27"/>
      <c r="CU27"/>
      <c r="CV27"/>
      <c r="CW27"/>
      <c r="CX27"/>
      <c r="CY27"/>
      <c r="CZ27"/>
      <c r="DA27"/>
      <c r="DB27"/>
      <c r="DC27"/>
      <c r="DD27"/>
      <c r="DE27"/>
      <c r="DF27"/>
      <c r="DG27"/>
      <c r="DH27"/>
      <c r="DI27"/>
      <c r="DJ27"/>
      <c r="DK27"/>
      <c r="DL27"/>
      <c r="DM27"/>
      <c r="DN27"/>
      <c r="DO27"/>
      <c r="DP27"/>
      <c r="DQ27"/>
      <c r="DR27"/>
      <c r="DS27"/>
      <c r="DT27"/>
      <c r="DU27"/>
      <c r="DV27"/>
      <c r="DW27"/>
      <c r="DX27"/>
      <c r="DY27"/>
      <c r="DZ27"/>
      <c r="EA27"/>
      <c r="EB27"/>
      <c r="EC27"/>
      <c r="ED27"/>
      <c r="EE27"/>
      <c r="EF27"/>
      <c r="EG27"/>
      <c r="EH27"/>
      <c r="EI27"/>
      <c r="EJ27"/>
      <c r="EK27"/>
      <c r="EL27"/>
      <c r="EM27"/>
      <c r="EN27"/>
      <c r="EO27"/>
      <c r="EP27"/>
      <c r="EQ27"/>
      <c r="ER27"/>
      <c r="ES27"/>
      <c r="ET27"/>
      <c r="EU27"/>
      <c r="EV27"/>
      <c r="EW27"/>
      <c r="EX27"/>
      <c r="EY27"/>
      <c r="EZ27"/>
      <c r="FA27"/>
      <c r="FB27"/>
      <c r="FC27"/>
      <c r="FD27"/>
      <c r="FE27"/>
      <c r="FF27"/>
      <c r="FG27"/>
      <c r="FH27"/>
      <c r="FI27"/>
      <c r="FJ27"/>
      <c r="FK27"/>
      <c r="FL27"/>
      <c r="FM27"/>
      <c r="FN27"/>
      <c r="FO27"/>
      <c r="FP27"/>
      <c r="FQ27"/>
      <c r="FR27"/>
      <c r="FS27"/>
      <c r="FT27"/>
      <c r="FU27"/>
      <c r="FV27"/>
      <c r="FW27"/>
      <c r="FX27"/>
      <c r="FY27"/>
      <c r="FZ27"/>
      <c r="GA27"/>
      <c r="GB27"/>
      <c r="GC27"/>
      <c r="GD27"/>
      <c r="GE27"/>
      <c r="GF27"/>
      <c r="GG27"/>
      <c r="GH27"/>
      <c r="GI27"/>
      <c r="GJ27"/>
      <c r="GK27"/>
    </row>
    <row r="28" spans="1:193" ht="18" hidden="1" customHeight="1" x14ac:dyDescent="0.25">
      <c r="A28" s="8" t="s">
        <v>31</v>
      </c>
      <c r="B28" s="8">
        <v>1100</v>
      </c>
      <c r="C28" s="8">
        <v>53</v>
      </c>
      <c r="D28" s="8">
        <v>926</v>
      </c>
      <c r="E28" s="8">
        <v>121</v>
      </c>
      <c r="F28" s="8">
        <v>20954852</v>
      </c>
      <c r="G28" s="8" t="s">
        <v>197</v>
      </c>
      <c r="H28" s="1">
        <v>43899</v>
      </c>
      <c r="I28" s="14">
        <f t="shared" si="0"/>
        <v>4.818181818181818E-2</v>
      </c>
      <c r="J28" s="14">
        <f t="shared" si="1"/>
        <v>0.8418181818181818</v>
      </c>
      <c r="K28" s="17">
        <f t="shared" si="2"/>
        <v>5.2493809071044739E-5</v>
      </c>
      <c r="L28" s="8" t="str" cm="1">
        <f t="array" ref="L28">_xlfn.IFS(I28&gt;5%,"High Risk",AND(I28&gt;2%,I28&lt;5%),"Modrate Risk",I28&lt;2%, "Low Risk")</f>
        <v>Modrate Risk</v>
      </c>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c r="BC28"/>
      <c r="BD28"/>
      <c r="BE28"/>
      <c r="BF28"/>
      <c r="BG28"/>
      <c r="BH28"/>
      <c r="BI28"/>
      <c r="BJ28"/>
      <c r="BK28"/>
      <c r="BL28"/>
      <c r="BM28"/>
      <c r="BN28"/>
      <c r="BO28"/>
      <c r="BP28"/>
      <c r="BQ28"/>
      <c r="BR28"/>
      <c r="BS28"/>
      <c r="BT28"/>
      <c r="BU28"/>
      <c r="BV28"/>
      <c r="BW28"/>
      <c r="BX28"/>
      <c r="BY28"/>
      <c r="BZ28"/>
      <c r="CA28"/>
      <c r="CB28"/>
      <c r="CC28"/>
      <c r="CD28"/>
      <c r="CE28"/>
      <c r="CF28"/>
      <c r="CG28"/>
      <c r="CH28"/>
      <c r="CI28"/>
      <c r="CJ28"/>
      <c r="CK28"/>
      <c r="CL28"/>
      <c r="CM28"/>
      <c r="CN28"/>
      <c r="CO28"/>
      <c r="CP28"/>
      <c r="CQ28"/>
      <c r="CR28"/>
      <c r="CS28"/>
      <c r="CT28"/>
      <c r="CU28"/>
      <c r="CV28"/>
      <c r="CW28"/>
      <c r="CX28"/>
      <c r="CY28"/>
      <c r="CZ28"/>
      <c r="DA28"/>
      <c r="DB28"/>
      <c r="DC28"/>
      <c r="DD28"/>
      <c r="DE28"/>
      <c r="DF28"/>
      <c r="DG28"/>
      <c r="DH28"/>
      <c r="DI28"/>
      <c r="DJ28"/>
      <c r="DK28"/>
      <c r="DL28"/>
      <c r="DM28"/>
      <c r="DN28"/>
      <c r="DO28"/>
      <c r="DP28"/>
      <c r="DQ28"/>
      <c r="DR28"/>
      <c r="DS28"/>
      <c r="DT28"/>
      <c r="DU28"/>
      <c r="DV28"/>
      <c r="DW28"/>
      <c r="DX28"/>
      <c r="DY28"/>
      <c r="DZ28"/>
      <c r="EA28"/>
      <c r="EB28"/>
      <c r="EC28"/>
      <c r="ED28"/>
      <c r="EE28"/>
      <c r="EF28"/>
      <c r="EG28"/>
      <c r="EH28"/>
      <c r="EI28"/>
      <c r="EJ28"/>
      <c r="EK28"/>
      <c r="EL28"/>
      <c r="EM28"/>
      <c r="EN28"/>
      <c r="EO28"/>
      <c r="EP28"/>
      <c r="EQ28"/>
      <c r="ER28"/>
      <c r="ES28"/>
      <c r="ET28"/>
      <c r="EU28"/>
      <c r="EV28"/>
      <c r="EW28"/>
      <c r="EX28"/>
      <c r="EY28"/>
      <c r="EZ28"/>
      <c r="FA28"/>
      <c r="FB28"/>
      <c r="FC28"/>
      <c r="FD28"/>
      <c r="FE28"/>
      <c r="FF28"/>
      <c r="FG28"/>
      <c r="FH28"/>
      <c r="FI28"/>
      <c r="FJ28"/>
      <c r="FK28"/>
      <c r="FL28"/>
      <c r="FM28"/>
      <c r="FN28"/>
      <c r="FO28"/>
      <c r="FP28"/>
      <c r="FQ28"/>
      <c r="FR28"/>
      <c r="FS28"/>
      <c r="FT28"/>
      <c r="FU28"/>
      <c r="FV28"/>
      <c r="FW28"/>
      <c r="FX28"/>
      <c r="FY28"/>
      <c r="FZ28"/>
      <c r="GA28"/>
      <c r="GB28"/>
      <c r="GC28"/>
      <c r="GD28"/>
      <c r="GE28"/>
      <c r="GF28"/>
      <c r="GG28"/>
      <c r="GH28"/>
      <c r="GI28"/>
      <c r="GJ28"/>
      <c r="GK28"/>
    </row>
    <row r="29" spans="1:193" ht="18" hidden="1" customHeight="1" x14ac:dyDescent="0.25">
      <c r="A29" s="9" t="s">
        <v>191</v>
      </c>
      <c r="B29" s="9">
        <v>350</v>
      </c>
      <c r="C29" s="9">
        <v>6</v>
      </c>
      <c r="D29" s="9">
        <v>292</v>
      </c>
      <c r="E29" s="9">
        <v>52</v>
      </c>
      <c r="F29" s="9">
        <v>54446389</v>
      </c>
      <c r="G29" s="9" t="s">
        <v>195</v>
      </c>
      <c r="H29" s="10">
        <v>43913</v>
      </c>
      <c r="I29" s="15">
        <f t="shared" si="0"/>
        <v>1.7142857142857144E-2</v>
      </c>
      <c r="J29" s="15">
        <f t="shared" si="1"/>
        <v>0.8342857142857143</v>
      </c>
      <c r="K29" s="18">
        <f t="shared" si="2"/>
        <v>6.4283418318155129E-6</v>
      </c>
      <c r="L29" s="9" t="str" cm="1">
        <f t="array" ref="L29">_xlfn.IFS(I29&gt;5%,"High Risk",AND(I29&gt;2%,I29&lt;5%),"Modrate Risk",I29&lt;2%, "Low Risk")</f>
        <v>Low Risk</v>
      </c>
      <c r="N29"/>
      <c r="O29"/>
      <c r="P29"/>
      <c r="Q29"/>
      <c r="R29"/>
      <c r="S29"/>
      <c r="T29"/>
      <c r="U29"/>
      <c r="V29"/>
      <c r="W29"/>
      <c r="X29"/>
      <c r="Y29"/>
      <c r="Z29"/>
      <c r="AA29"/>
      <c r="AB29"/>
      <c r="AC29"/>
      <c r="AD29"/>
      <c r="AE29"/>
      <c r="AF29"/>
      <c r="AG29"/>
      <c r="AH29"/>
      <c r="AI29"/>
      <c r="AJ29"/>
      <c r="AK29"/>
      <c r="AL29"/>
      <c r="AM29"/>
      <c r="AN29"/>
      <c r="AO29"/>
      <c r="AP29"/>
      <c r="AQ29"/>
      <c r="AR29"/>
      <c r="AS29"/>
      <c r="AT29"/>
      <c r="AU29"/>
      <c r="AV29"/>
      <c r="AW29"/>
      <c r="AX29"/>
      <c r="AY29"/>
      <c r="AZ29"/>
      <c r="BA29"/>
      <c r="BB29"/>
      <c r="BC29"/>
      <c r="BD29"/>
      <c r="BE29"/>
      <c r="BF29"/>
      <c r="BG29"/>
      <c r="BH29"/>
      <c r="BI29"/>
      <c r="BJ29"/>
      <c r="BK29"/>
      <c r="BL29"/>
      <c r="BM29"/>
      <c r="BN29"/>
      <c r="BO29"/>
      <c r="BP29"/>
      <c r="BQ29"/>
      <c r="BR29"/>
      <c r="BS29"/>
      <c r="BT29"/>
      <c r="BU29"/>
      <c r="BV29"/>
      <c r="BW29"/>
      <c r="BX29"/>
      <c r="BY29"/>
      <c r="BZ29"/>
      <c r="CA29"/>
      <c r="CB29"/>
      <c r="CC29"/>
      <c r="CD29"/>
      <c r="CE29"/>
      <c r="CF29"/>
      <c r="CG29"/>
      <c r="CH29"/>
      <c r="CI29"/>
      <c r="CJ29"/>
      <c r="CK29"/>
      <c r="CL29"/>
      <c r="CM29"/>
      <c r="CN29"/>
      <c r="CO29"/>
      <c r="CP29"/>
      <c r="CQ29"/>
      <c r="CR29"/>
      <c r="CS29"/>
      <c r="CT29"/>
      <c r="CU29"/>
      <c r="CV29"/>
      <c r="CW29"/>
      <c r="CX29"/>
      <c r="CY29"/>
      <c r="CZ29"/>
      <c r="DA29"/>
      <c r="DB29"/>
      <c r="DC29"/>
      <c r="DD29"/>
      <c r="DE29"/>
      <c r="DF29"/>
      <c r="DG29"/>
      <c r="DH29"/>
      <c r="DI29"/>
      <c r="DJ29"/>
      <c r="DK29"/>
      <c r="DL29"/>
      <c r="DM29"/>
      <c r="DN29"/>
      <c r="DO29"/>
      <c r="DP29"/>
      <c r="DQ29"/>
      <c r="DR29"/>
      <c r="DS29"/>
      <c r="DT29"/>
      <c r="DU29"/>
      <c r="DV29"/>
      <c r="DW29"/>
      <c r="DX29"/>
      <c r="DY29"/>
      <c r="DZ29"/>
      <c r="EA29"/>
      <c r="EB29"/>
      <c r="EC29"/>
      <c r="ED29"/>
      <c r="EE29"/>
      <c r="EF29"/>
      <c r="EG29"/>
      <c r="EH29"/>
      <c r="EI29"/>
      <c r="EJ29"/>
      <c r="EK29"/>
      <c r="EL29"/>
      <c r="EM29"/>
      <c r="EN29"/>
      <c r="EO29"/>
      <c r="EP29"/>
      <c r="EQ29"/>
      <c r="ER29"/>
      <c r="ES29"/>
      <c r="ET29"/>
      <c r="EU29"/>
      <c r="EV29"/>
      <c r="EW29"/>
      <c r="EX29"/>
      <c r="EY29"/>
      <c r="EZ29"/>
      <c r="FA29"/>
      <c r="FB29"/>
      <c r="FC29"/>
      <c r="FD29"/>
      <c r="FE29"/>
      <c r="FF29"/>
      <c r="FG29"/>
      <c r="FH29"/>
      <c r="FI29"/>
      <c r="FJ29"/>
      <c r="FK29"/>
      <c r="FL29"/>
      <c r="FM29"/>
      <c r="FN29"/>
      <c r="FO29"/>
      <c r="FP29"/>
      <c r="FQ29"/>
      <c r="FR29"/>
      <c r="FS29"/>
      <c r="FT29"/>
      <c r="FU29"/>
      <c r="FV29"/>
      <c r="FW29"/>
      <c r="FX29"/>
      <c r="FY29"/>
      <c r="FZ29"/>
      <c r="GA29"/>
      <c r="GB29"/>
      <c r="GC29"/>
      <c r="GD29"/>
      <c r="GE29"/>
      <c r="GF29"/>
      <c r="GG29"/>
      <c r="GH29"/>
      <c r="GI29"/>
      <c r="GJ29"/>
      <c r="GK29"/>
    </row>
    <row r="30" spans="1:193" ht="18" hidden="1" customHeight="1" x14ac:dyDescent="0.25">
      <c r="A30" s="8" t="s">
        <v>32</v>
      </c>
      <c r="B30" s="8">
        <v>378</v>
      </c>
      <c r="C30" s="8">
        <v>1</v>
      </c>
      <c r="D30" s="8">
        <v>301</v>
      </c>
      <c r="E30" s="8">
        <v>76</v>
      </c>
      <c r="F30" s="8">
        <v>11922216</v>
      </c>
      <c r="G30" s="8" t="s">
        <v>197</v>
      </c>
      <c r="H30" s="1">
        <v>43921</v>
      </c>
      <c r="I30" s="14">
        <f t="shared" si="0"/>
        <v>2.6455026455026454E-3</v>
      </c>
      <c r="J30" s="14">
        <f t="shared" si="1"/>
        <v>0.79629629629629628</v>
      </c>
      <c r="K30" s="17">
        <f t="shared" si="2"/>
        <v>3.1705515149197092E-5</v>
      </c>
      <c r="L30" s="8" t="str" cm="1">
        <f t="array" ref="L30">_xlfn.IFS(I30&gt;5%,"High Risk",AND(I30&gt;2%,I30&lt;5%),"Modrate Risk",I30&lt;2%, "Low Risk")</f>
        <v>Low Risk</v>
      </c>
      <c r="N30"/>
      <c r="O30"/>
      <c r="P30"/>
      <c r="Q30"/>
      <c r="R30"/>
      <c r="S30"/>
      <c r="T30"/>
      <c r="U30"/>
      <c r="V30"/>
      <c r="W30"/>
      <c r="X30"/>
      <c r="Y30"/>
      <c r="Z30"/>
      <c r="AA30"/>
      <c r="AB30"/>
      <c r="AC30"/>
      <c r="AD30"/>
      <c r="AE30"/>
      <c r="AF30"/>
      <c r="AG30"/>
      <c r="AH30"/>
      <c r="AI30"/>
      <c r="AJ30"/>
      <c r="AK30"/>
      <c r="AL30"/>
      <c r="AM30"/>
      <c r="AN30"/>
      <c r="AO30"/>
      <c r="AP30"/>
      <c r="AQ30"/>
      <c r="AR30"/>
      <c r="AS30"/>
      <c r="AT30"/>
      <c r="AU30"/>
      <c r="AV30"/>
      <c r="AW30"/>
      <c r="AX30"/>
      <c r="AY30"/>
      <c r="AZ30"/>
      <c r="BA30"/>
      <c r="BB30"/>
      <c r="BC30"/>
      <c r="BD30"/>
      <c r="BE30"/>
      <c r="BF30"/>
      <c r="BG30"/>
      <c r="BH30"/>
      <c r="BI30"/>
      <c r="BJ30"/>
      <c r="BK30"/>
      <c r="BL30"/>
      <c r="BM30"/>
      <c r="BN30"/>
      <c r="BO30"/>
      <c r="BP30"/>
      <c r="BQ30"/>
      <c r="BR30"/>
      <c r="BS30"/>
      <c r="BT30"/>
      <c r="BU30"/>
      <c r="BV30"/>
      <c r="BW30"/>
      <c r="BX30"/>
      <c r="BY30"/>
      <c r="BZ30"/>
      <c r="CA30"/>
      <c r="CB30"/>
      <c r="CC30"/>
      <c r="CD30"/>
      <c r="CE30"/>
      <c r="CF30"/>
      <c r="CG30"/>
      <c r="CH30"/>
      <c r="CI30"/>
      <c r="CJ30"/>
      <c r="CK30"/>
      <c r="CL30"/>
      <c r="CM30"/>
      <c r="CN30"/>
      <c r="CO30"/>
      <c r="CP30"/>
      <c r="CQ30"/>
      <c r="CR30"/>
      <c r="CS30"/>
      <c r="CT30"/>
      <c r="CU30"/>
      <c r="CV30"/>
      <c r="CW30"/>
      <c r="CX30"/>
      <c r="CY30"/>
      <c r="CZ30"/>
      <c r="DA30"/>
      <c r="DB30"/>
      <c r="DC30"/>
      <c r="DD30"/>
      <c r="DE30"/>
      <c r="DF30"/>
      <c r="DG30"/>
      <c r="DH30"/>
      <c r="DI30"/>
      <c r="DJ30"/>
      <c r="DK30"/>
      <c r="DL30"/>
      <c r="DM30"/>
      <c r="DN30"/>
      <c r="DO30"/>
      <c r="DP30"/>
      <c r="DQ30"/>
      <c r="DR30"/>
      <c r="DS30"/>
      <c r="DT30"/>
      <c r="DU30"/>
      <c r="DV30"/>
      <c r="DW30"/>
      <c r="DX30"/>
      <c r="DY30"/>
      <c r="DZ30"/>
      <c r="EA30"/>
      <c r="EB30"/>
      <c r="EC30"/>
      <c r="ED30"/>
      <c r="EE30"/>
      <c r="EF30"/>
      <c r="EG30"/>
      <c r="EH30"/>
      <c r="EI30"/>
      <c r="EJ30"/>
      <c r="EK30"/>
      <c r="EL30"/>
      <c r="EM30"/>
      <c r="EN30"/>
      <c r="EO30"/>
      <c r="EP30"/>
      <c r="EQ30"/>
      <c r="ER30"/>
      <c r="ES30"/>
      <c r="ET30"/>
      <c r="EU30"/>
      <c r="EV30"/>
      <c r="EW30"/>
      <c r="EX30"/>
      <c r="EY30"/>
      <c r="EZ30"/>
      <c r="FA30"/>
      <c r="FB30"/>
      <c r="FC30"/>
      <c r="FD30"/>
      <c r="FE30"/>
      <c r="FF30"/>
      <c r="FG30"/>
      <c r="FH30"/>
      <c r="FI30"/>
      <c r="FJ30"/>
      <c r="FK30"/>
      <c r="FL30"/>
      <c r="FM30"/>
      <c r="FN30"/>
      <c r="FO30"/>
      <c r="FP30"/>
      <c r="FQ30"/>
      <c r="FR30"/>
      <c r="FS30"/>
      <c r="FT30"/>
      <c r="FU30"/>
      <c r="FV30"/>
      <c r="FW30"/>
      <c r="FX30"/>
      <c r="FY30"/>
      <c r="FZ30"/>
      <c r="GA30"/>
      <c r="GB30"/>
      <c r="GC30"/>
      <c r="GD30"/>
      <c r="GE30"/>
      <c r="GF30"/>
      <c r="GG30"/>
      <c r="GH30"/>
      <c r="GI30"/>
      <c r="GJ30"/>
      <c r="GK30"/>
    </row>
    <row r="31" spans="1:193" ht="18" hidden="1" customHeight="1" x14ac:dyDescent="0.25">
      <c r="A31" s="9" t="s">
        <v>33</v>
      </c>
      <c r="B31" s="9">
        <v>2328</v>
      </c>
      <c r="C31" s="9">
        <v>22</v>
      </c>
      <c r="D31" s="9">
        <v>1550</v>
      </c>
      <c r="E31" s="9">
        <v>756</v>
      </c>
      <c r="F31" s="9">
        <v>556581</v>
      </c>
      <c r="G31" s="9" t="s">
        <v>197</v>
      </c>
      <c r="H31" s="10">
        <v>43910</v>
      </c>
      <c r="I31" s="15">
        <f t="shared" si="0"/>
        <v>9.4501718213058413E-3</v>
      </c>
      <c r="J31" s="15">
        <f t="shared" si="1"/>
        <v>0.66580756013745701</v>
      </c>
      <c r="K31" s="18">
        <f t="shared" si="2"/>
        <v>4.1826796099759065E-3</v>
      </c>
      <c r="L31" s="9" t="str" cm="1">
        <f t="array" ref="L31">_xlfn.IFS(I31&gt;5%,"High Risk",AND(I31&gt;2%,I31&lt;5%),"Modrate Risk",I31&lt;2%, "Low Risk")</f>
        <v>Low Risk</v>
      </c>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row>
    <row r="32" spans="1:193" ht="18" hidden="1" customHeight="1" x14ac:dyDescent="0.25">
      <c r="A32" s="8" t="s">
        <v>34</v>
      </c>
      <c r="B32" s="8">
        <v>226</v>
      </c>
      <c r="C32" s="8">
        <v>0</v>
      </c>
      <c r="D32" s="8">
        <v>147</v>
      </c>
      <c r="E32" s="8">
        <v>79</v>
      </c>
      <c r="F32" s="8">
        <v>16741375</v>
      </c>
      <c r="G32" s="8" t="s">
        <v>195</v>
      </c>
      <c r="H32" s="1">
        <v>43857</v>
      </c>
      <c r="I32" s="14">
        <f t="shared" si="0"/>
        <v>0</v>
      </c>
      <c r="J32" s="14">
        <f t="shared" si="1"/>
        <v>0.65044247787610621</v>
      </c>
      <c r="K32" s="17">
        <f t="shared" si="2"/>
        <v>1.349948854260776E-5</v>
      </c>
      <c r="L32" s="8" t="str" cm="1">
        <f t="array" ref="L32">_xlfn.IFS(I32&gt;5%,"High Risk",AND(I32&gt;2%,I32&lt;5%),"Modrate Risk",I32&lt;2%, "Low Risk")</f>
        <v>Low Risk</v>
      </c>
      <c r="N32"/>
      <c r="O32"/>
      <c r="P32"/>
      <c r="Q32"/>
      <c r="R32"/>
      <c r="S32"/>
      <c r="T32"/>
      <c r="U32"/>
      <c r="V32"/>
      <c r="W32"/>
      <c r="X32"/>
      <c r="Y32"/>
      <c r="Z32"/>
      <c r="AA32"/>
      <c r="AB32"/>
      <c r="AC32"/>
      <c r="AD32"/>
      <c r="AE32"/>
      <c r="AF32"/>
      <c r="AG32"/>
      <c r="AH32"/>
      <c r="AI32"/>
      <c r="AJ32"/>
      <c r="AK32"/>
      <c r="AL32"/>
      <c r="AM32"/>
      <c r="AN32"/>
      <c r="AO32"/>
      <c r="AP32"/>
      <c r="AQ32"/>
      <c r="AR32"/>
      <c r="AS32"/>
      <c r="AT32"/>
      <c r="AU32"/>
      <c r="AV32"/>
      <c r="AW32"/>
      <c r="AX32"/>
      <c r="AY32"/>
      <c r="AZ32"/>
      <c r="BA32"/>
      <c r="BB32"/>
      <c r="BC32"/>
      <c r="BD32"/>
      <c r="BE32"/>
      <c r="BF32"/>
      <c r="BG32"/>
      <c r="BH32"/>
      <c r="BI32"/>
      <c r="BJ32"/>
      <c r="BK32"/>
      <c r="BL32"/>
      <c r="BM32"/>
      <c r="BN32"/>
      <c r="BO32"/>
      <c r="BP32"/>
      <c r="BQ32"/>
      <c r="BR32"/>
      <c r="BS32"/>
      <c r="BT32"/>
      <c r="BU32"/>
      <c r="BV32"/>
      <c r="BW32"/>
      <c r="BX32"/>
      <c r="BY32"/>
      <c r="BZ32"/>
      <c r="CA32"/>
      <c r="CB32"/>
      <c r="CC32"/>
      <c r="CD32"/>
      <c r="CE32"/>
      <c r="CF32"/>
      <c r="CG32"/>
      <c r="CH32"/>
      <c r="CI32"/>
      <c r="CJ32"/>
      <c r="CK32"/>
      <c r="CL32"/>
      <c r="CM32"/>
      <c r="CN32"/>
      <c r="CO32"/>
      <c r="CP32"/>
      <c r="CQ32"/>
      <c r="CR32"/>
      <c r="CS32"/>
      <c r="CT32"/>
      <c r="CU32"/>
      <c r="CV32"/>
      <c r="CW32"/>
      <c r="CX32"/>
      <c r="CY32"/>
      <c r="CZ32"/>
      <c r="DA32"/>
      <c r="DB32"/>
      <c r="DC32"/>
      <c r="DD32"/>
      <c r="DE32"/>
      <c r="DF32"/>
      <c r="DG32"/>
      <c r="DH32"/>
      <c r="DI32"/>
      <c r="DJ32"/>
      <c r="DK32"/>
      <c r="DL32"/>
      <c r="DM32"/>
      <c r="DN32"/>
      <c r="DO32"/>
      <c r="DP32"/>
      <c r="DQ32"/>
      <c r="DR32"/>
      <c r="DS32"/>
      <c r="DT32"/>
      <c r="DU32"/>
      <c r="DV32"/>
      <c r="DW32"/>
      <c r="DX32"/>
      <c r="DY32"/>
      <c r="DZ32"/>
      <c r="EA32"/>
      <c r="EB32"/>
      <c r="EC32"/>
      <c r="ED32"/>
      <c r="EE32"/>
      <c r="EF32"/>
      <c r="EG32"/>
      <c r="EH32"/>
      <c r="EI32"/>
      <c r="EJ32"/>
      <c r="EK32"/>
      <c r="EL32"/>
      <c r="EM32"/>
      <c r="EN32"/>
      <c r="EO32"/>
      <c r="EP32"/>
      <c r="EQ32"/>
      <c r="ER32"/>
      <c r="ES32"/>
      <c r="ET32"/>
      <c r="EU32"/>
      <c r="EV32"/>
      <c r="EW32"/>
      <c r="EX32"/>
      <c r="EY32"/>
      <c r="EZ32"/>
      <c r="FA32"/>
      <c r="FB32"/>
      <c r="FC32"/>
      <c r="FD32"/>
      <c r="FE32"/>
      <c r="FF32"/>
      <c r="FG32"/>
      <c r="FH32"/>
      <c r="FI32"/>
      <c r="FJ32"/>
      <c r="FK32"/>
      <c r="FL32"/>
      <c r="FM32"/>
      <c r="FN32"/>
      <c r="FO32"/>
      <c r="FP32"/>
      <c r="FQ32"/>
      <c r="FR32"/>
      <c r="FS32"/>
      <c r="FT32"/>
      <c r="FU32"/>
      <c r="FV32"/>
      <c r="FW32"/>
      <c r="FX32"/>
      <c r="FY32"/>
      <c r="FZ32"/>
      <c r="GA32"/>
      <c r="GB32"/>
      <c r="GC32"/>
      <c r="GD32"/>
      <c r="GE32"/>
      <c r="GF32"/>
      <c r="GG32"/>
      <c r="GH32"/>
      <c r="GI32"/>
      <c r="GJ32"/>
      <c r="GK32"/>
    </row>
    <row r="33" spans="1:193" ht="18" hidden="1" customHeight="1" x14ac:dyDescent="0.25">
      <c r="A33" s="9" t="s">
        <v>35</v>
      </c>
      <c r="B33" s="9">
        <v>17110</v>
      </c>
      <c r="C33" s="9">
        <v>391</v>
      </c>
      <c r="D33" s="9">
        <v>14539</v>
      </c>
      <c r="E33" s="9">
        <v>2180</v>
      </c>
      <c r="F33" s="9">
        <v>26606188</v>
      </c>
      <c r="G33" s="9" t="s">
        <v>197</v>
      </c>
      <c r="H33" s="10">
        <v>43896</v>
      </c>
      <c r="I33" s="15">
        <f t="shared" si="0"/>
        <v>2.2852133255406196E-2</v>
      </c>
      <c r="J33" s="15">
        <f t="shared" si="1"/>
        <v>0.84973699590882523</v>
      </c>
      <c r="K33" s="18">
        <f t="shared" si="2"/>
        <v>6.4308348118114476E-4</v>
      </c>
      <c r="L33" s="9" t="str" cm="1">
        <f t="array" ref="L33">_xlfn.IFS(I33&gt;5%,"High Risk",AND(I33&gt;2%,I33&lt;5%),"Modrate Risk",I33&lt;2%, "Low Risk")</f>
        <v>Modrate Risk</v>
      </c>
      <c r="N33"/>
      <c r="O33"/>
      <c r="P33"/>
      <c r="Q33"/>
      <c r="R33"/>
      <c r="S33"/>
      <c r="T33"/>
      <c r="U33"/>
      <c r="V33"/>
      <c r="W33"/>
      <c r="X33"/>
      <c r="Y33"/>
      <c r="Z33"/>
      <c r="AA33"/>
      <c r="AB33"/>
      <c r="AC33"/>
      <c r="AD33"/>
      <c r="AE33"/>
      <c r="AF33"/>
      <c r="AG33"/>
      <c r="AH33"/>
      <c r="AI33"/>
      <c r="AJ33"/>
      <c r="AK33"/>
      <c r="AL33"/>
      <c r="AM33"/>
      <c r="AN33"/>
      <c r="AO33"/>
      <c r="AP33"/>
      <c r="AQ33"/>
      <c r="AR33"/>
      <c r="AS33"/>
      <c r="AT33"/>
      <c r="AU33"/>
      <c r="AV33"/>
      <c r="AW33"/>
      <c r="AX33"/>
      <c r="AY33"/>
      <c r="AZ33"/>
      <c r="BA33"/>
      <c r="BB33"/>
      <c r="BC33"/>
      <c r="BD33"/>
      <c r="BE33"/>
      <c r="BF33"/>
      <c r="BG33"/>
      <c r="BH33"/>
      <c r="BI33"/>
      <c r="BJ33"/>
      <c r="BK33"/>
      <c r="BL33"/>
      <c r="BM33"/>
      <c r="BN33"/>
      <c r="BO33"/>
      <c r="BP33"/>
      <c r="BQ33"/>
      <c r="BR33"/>
      <c r="BS33"/>
      <c r="BT33"/>
      <c r="BU33"/>
      <c r="BV33"/>
      <c r="BW33"/>
      <c r="BX33"/>
      <c r="BY33"/>
      <c r="BZ33"/>
      <c r="CA33"/>
      <c r="CB33"/>
      <c r="CC33"/>
      <c r="CD33"/>
      <c r="CE33"/>
      <c r="CF33"/>
      <c r="CG33"/>
      <c r="CH33"/>
      <c r="CI33"/>
      <c r="CJ33"/>
      <c r="CK33"/>
      <c r="CL33"/>
      <c r="CM33"/>
      <c r="CN33"/>
      <c r="CO33"/>
      <c r="CP33"/>
      <c r="CQ33"/>
      <c r="CR33"/>
      <c r="CS33"/>
      <c r="CT33"/>
      <c r="CU33"/>
      <c r="CV33"/>
      <c r="CW33"/>
      <c r="CX33"/>
      <c r="CY33"/>
      <c r="CZ33"/>
      <c r="DA33"/>
      <c r="DB33"/>
      <c r="DC33"/>
      <c r="DD33"/>
      <c r="DE33"/>
      <c r="DF33"/>
      <c r="DG33"/>
      <c r="DH33"/>
      <c r="DI33"/>
      <c r="DJ33"/>
      <c r="DK33"/>
      <c r="DL33"/>
      <c r="DM33"/>
      <c r="DN33"/>
      <c r="DO33"/>
      <c r="DP33"/>
      <c r="DQ33"/>
      <c r="DR33"/>
      <c r="DS33"/>
      <c r="DT33"/>
      <c r="DU33"/>
      <c r="DV33"/>
      <c r="DW33"/>
      <c r="DX33"/>
      <c r="DY33"/>
      <c r="DZ33"/>
      <c r="EA33"/>
      <c r="EB33"/>
      <c r="EC33"/>
      <c r="ED33"/>
      <c r="EE33"/>
      <c r="EF33"/>
      <c r="EG33"/>
      <c r="EH33"/>
      <c r="EI33"/>
      <c r="EJ33"/>
      <c r="EK33"/>
      <c r="EL33"/>
      <c r="EM33"/>
      <c r="EN33"/>
      <c r="EO33"/>
      <c r="EP33"/>
      <c r="EQ33"/>
      <c r="ER33"/>
      <c r="ES33"/>
      <c r="ET33"/>
      <c r="EU33"/>
      <c r="EV33"/>
      <c r="EW33"/>
      <c r="EX33"/>
      <c r="EY33"/>
      <c r="EZ33"/>
      <c r="FA33"/>
      <c r="FB33"/>
      <c r="FC33"/>
      <c r="FD33"/>
      <c r="FE33"/>
      <c r="FF33"/>
      <c r="FG33"/>
      <c r="FH33"/>
      <c r="FI33"/>
      <c r="FJ33"/>
      <c r="FK33"/>
      <c r="FL33"/>
      <c r="FM33"/>
      <c r="FN33"/>
      <c r="FO33"/>
      <c r="FP33"/>
      <c r="FQ33"/>
      <c r="FR33"/>
      <c r="FS33"/>
      <c r="FT33"/>
      <c r="FU33"/>
      <c r="FV33"/>
      <c r="FW33"/>
      <c r="FX33"/>
      <c r="FY33"/>
      <c r="FZ33"/>
      <c r="GA33"/>
      <c r="GB33"/>
      <c r="GC33"/>
      <c r="GD33"/>
      <c r="GE33"/>
      <c r="GF33"/>
      <c r="GG33"/>
      <c r="GH33"/>
      <c r="GI33"/>
      <c r="GJ33"/>
      <c r="GK33"/>
    </row>
    <row r="34" spans="1:193" ht="18" hidden="1" customHeight="1" x14ac:dyDescent="0.25">
      <c r="A34" s="8" t="s">
        <v>36</v>
      </c>
      <c r="B34" s="8">
        <v>116458</v>
      </c>
      <c r="C34" s="8">
        <v>8944</v>
      </c>
      <c r="D34" s="8">
        <v>0</v>
      </c>
      <c r="E34" s="8">
        <v>107514</v>
      </c>
      <c r="F34" s="8">
        <v>37775022</v>
      </c>
      <c r="G34" s="8" t="s">
        <v>198</v>
      </c>
      <c r="H34" s="1">
        <v>43855</v>
      </c>
      <c r="I34" s="14">
        <f t="shared" si="0"/>
        <v>7.6800219821738305E-2</v>
      </c>
      <c r="J34" s="14">
        <f t="shared" si="1"/>
        <v>0</v>
      </c>
      <c r="K34" s="17">
        <f t="shared" si="2"/>
        <v>3.0829366558674672E-3</v>
      </c>
      <c r="L34" s="8" t="str" cm="1">
        <f t="array" ref="L34">_xlfn.IFS(I34&gt;5%,"High Risk",AND(I34&gt;2%,I34&lt;5%),"Modrate Risk",I34&lt;2%, "Low Risk")</f>
        <v>High Risk</v>
      </c>
      <c r="N34"/>
      <c r="O34"/>
      <c r="P34"/>
      <c r="Q34"/>
      <c r="R34"/>
      <c r="S34"/>
      <c r="T34"/>
      <c r="U34"/>
      <c r="V34"/>
      <c r="W34"/>
      <c r="X34"/>
      <c r="Y34"/>
      <c r="Z34"/>
      <c r="AA34"/>
      <c r="AB34"/>
      <c r="AC34"/>
      <c r="AD34"/>
      <c r="AE34"/>
      <c r="AF34"/>
      <c r="AG34"/>
      <c r="AH34"/>
      <c r="AI34"/>
      <c r="AJ34"/>
      <c r="AK34"/>
      <c r="AL34"/>
      <c r="AM34"/>
      <c r="AN34"/>
      <c r="AO34"/>
      <c r="AP34"/>
      <c r="AQ34"/>
      <c r="AR34"/>
      <c r="AS34"/>
      <c r="AT34"/>
      <c r="AU34"/>
      <c r="AV34"/>
      <c r="AW34"/>
      <c r="AX34"/>
      <c r="AY34"/>
      <c r="AZ34"/>
      <c r="BA34"/>
      <c r="BB34"/>
      <c r="BC34"/>
      <c r="BD34"/>
      <c r="BE34"/>
      <c r="BF34"/>
      <c r="BG34"/>
      <c r="BH34"/>
      <c r="BI34"/>
      <c r="BJ34"/>
      <c r="BK34"/>
      <c r="BL34"/>
      <c r="BM34"/>
      <c r="BN34"/>
      <c r="BO34"/>
      <c r="BP34"/>
      <c r="BQ34"/>
      <c r="BR34"/>
      <c r="BS34"/>
      <c r="BT34"/>
      <c r="BU34"/>
      <c r="BV34"/>
      <c r="BW34"/>
      <c r="BX34"/>
      <c r="BY34"/>
      <c r="BZ34"/>
      <c r="CA34"/>
      <c r="CB34"/>
      <c r="CC34"/>
      <c r="CD34"/>
      <c r="CE34"/>
      <c r="CF34"/>
      <c r="CG34"/>
      <c r="CH34"/>
      <c r="CI34"/>
      <c r="CJ34"/>
      <c r="CK34"/>
      <c r="CL34"/>
      <c r="CM34"/>
      <c r="CN34"/>
      <c r="CO34"/>
      <c r="CP34"/>
      <c r="CQ34"/>
      <c r="CR34"/>
      <c r="CS34"/>
      <c r="CT34"/>
      <c r="CU34"/>
      <c r="CV34"/>
      <c r="CW34"/>
      <c r="CX34"/>
      <c r="CY34"/>
      <c r="CZ34"/>
      <c r="DA34"/>
      <c r="DB34"/>
      <c r="DC34"/>
      <c r="DD34"/>
      <c r="DE34"/>
      <c r="DF34"/>
      <c r="DG34"/>
      <c r="DH34"/>
      <c r="DI34"/>
      <c r="DJ34"/>
      <c r="DK34"/>
      <c r="DL34"/>
      <c r="DM34"/>
      <c r="DN34"/>
      <c r="DO34"/>
      <c r="DP34"/>
      <c r="DQ34"/>
      <c r="DR34"/>
      <c r="DS34"/>
      <c r="DT34"/>
      <c r="DU34"/>
      <c r="DV34"/>
      <c r="DW34"/>
      <c r="DX34"/>
      <c r="DY34"/>
      <c r="DZ34"/>
      <c r="EA34"/>
      <c r="EB34"/>
      <c r="EC34"/>
      <c r="ED34"/>
      <c r="EE34"/>
      <c r="EF34"/>
      <c r="EG34"/>
      <c r="EH34"/>
      <c r="EI34"/>
      <c r="EJ34"/>
      <c r="EK34"/>
      <c r="EL34"/>
      <c r="EM34"/>
      <c r="EN34"/>
      <c r="EO34"/>
      <c r="EP34"/>
      <c r="EQ34"/>
      <c r="ER34"/>
      <c r="ES34"/>
      <c r="ET34"/>
      <c r="EU34"/>
      <c r="EV34"/>
      <c r="EW34"/>
      <c r="EX34"/>
      <c r="EY34"/>
      <c r="EZ34"/>
      <c r="FA34"/>
      <c r="FB34"/>
      <c r="FC34"/>
      <c r="FD34"/>
      <c r="FE34"/>
      <c r="FF34"/>
      <c r="FG34"/>
      <c r="FH34"/>
      <c r="FI34"/>
      <c r="FJ34"/>
      <c r="FK34"/>
      <c r="FL34"/>
      <c r="FM34"/>
      <c r="FN34"/>
      <c r="FO34"/>
      <c r="FP34"/>
      <c r="FQ34"/>
      <c r="FR34"/>
      <c r="FS34"/>
      <c r="FT34"/>
      <c r="FU34"/>
      <c r="FV34"/>
      <c r="FW34"/>
      <c r="FX34"/>
      <c r="FY34"/>
      <c r="FZ34"/>
      <c r="GA34"/>
      <c r="GB34"/>
      <c r="GC34"/>
      <c r="GD34"/>
      <c r="GE34"/>
      <c r="GF34"/>
      <c r="GG34"/>
      <c r="GH34"/>
      <c r="GI34"/>
      <c r="GJ34"/>
      <c r="GK34"/>
    </row>
    <row r="35" spans="1:193" ht="18" hidden="1" customHeight="1" x14ac:dyDescent="0.25">
      <c r="A35" s="9" t="s">
        <v>37</v>
      </c>
      <c r="B35" s="9">
        <v>4599</v>
      </c>
      <c r="C35" s="9">
        <v>59</v>
      </c>
      <c r="D35" s="9">
        <v>1546</v>
      </c>
      <c r="E35" s="9">
        <v>2994</v>
      </c>
      <c r="F35" s="9">
        <v>4837752</v>
      </c>
      <c r="G35" s="9" t="s">
        <v>197</v>
      </c>
      <c r="H35" s="10">
        <v>43904</v>
      </c>
      <c r="I35" s="15">
        <f t="shared" si="0"/>
        <v>1.2828875842574472E-2</v>
      </c>
      <c r="J35" s="15">
        <f t="shared" si="1"/>
        <v>0.33616003479017176</v>
      </c>
      <c r="K35" s="18">
        <f t="shared" si="2"/>
        <v>9.5064815228229974E-4</v>
      </c>
      <c r="L35" s="9" t="str" cm="1">
        <f t="array" ref="L35">_xlfn.IFS(I35&gt;5%,"High Risk",AND(I35&gt;2%,I35&lt;5%),"Modrate Risk",I35&lt;2%, "Low Risk")</f>
        <v>Low Risk</v>
      </c>
      <c r="N35"/>
      <c r="O35"/>
      <c r="P35"/>
      <c r="Q35"/>
      <c r="R35"/>
      <c r="S35"/>
      <c r="T35"/>
      <c r="U35"/>
      <c r="V35"/>
      <c r="W35"/>
      <c r="X35"/>
      <c r="Y35"/>
      <c r="Z35"/>
      <c r="AA35"/>
      <c r="AB35"/>
      <c r="AC35"/>
      <c r="AD35"/>
      <c r="AE35"/>
      <c r="AF35"/>
      <c r="AG35"/>
      <c r="AH35"/>
      <c r="AI35"/>
      <c r="AJ35"/>
      <c r="AK35"/>
      <c r="AL35"/>
      <c r="AM35"/>
      <c r="AN35"/>
      <c r="AO35"/>
      <c r="AP35"/>
      <c r="AQ35"/>
      <c r="AR35"/>
      <c r="AS35"/>
      <c r="AT35"/>
      <c r="AU35"/>
      <c r="AV35"/>
      <c r="AW35"/>
      <c r="AX35"/>
      <c r="AY35"/>
      <c r="AZ35"/>
      <c r="BA35"/>
      <c r="BB35"/>
      <c r="BC35"/>
      <c r="BD35"/>
      <c r="BE35"/>
      <c r="BF35"/>
      <c r="BG35"/>
      <c r="BH35"/>
      <c r="BI35"/>
      <c r="BJ35"/>
      <c r="BK35"/>
      <c r="BL35"/>
      <c r="BM35"/>
      <c r="BN35"/>
      <c r="BO35"/>
      <c r="BP35"/>
      <c r="BQ35"/>
      <c r="BR35"/>
      <c r="BS35"/>
      <c r="BT35"/>
      <c r="BU35"/>
      <c r="BV35"/>
      <c r="BW35"/>
      <c r="BX35"/>
      <c r="BY35"/>
      <c r="BZ35"/>
      <c r="CA35"/>
      <c r="CB35"/>
      <c r="CC35"/>
      <c r="CD35"/>
      <c r="CE35"/>
      <c r="CF35"/>
      <c r="CG35"/>
      <c r="CH35"/>
      <c r="CI35"/>
      <c r="CJ35"/>
      <c r="CK35"/>
      <c r="CL35"/>
      <c r="CM35"/>
      <c r="CN35"/>
      <c r="CO35"/>
      <c r="CP35"/>
      <c r="CQ35"/>
      <c r="CR35"/>
      <c r="CS35"/>
      <c r="CT35"/>
      <c r="CU35"/>
      <c r="CV35"/>
      <c r="CW35"/>
      <c r="CX35"/>
      <c r="CY35"/>
      <c r="CZ35"/>
      <c r="DA35"/>
      <c r="DB35"/>
      <c r="DC35"/>
      <c r="DD35"/>
      <c r="DE35"/>
      <c r="DF35"/>
      <c r="DG35"/>
      <c r="DH35"/>
      <c r="DI35"/>
      <c r="DJ35"/>
      <c r="DK35"/>
      <c r="DL35"/>
      <c r="DM35"/>
      <c r="DN35"/>
      <c r="DO35"/>
      <c r="DP35"/>
      <c r="DQ35"/>
      <c r="DR35"/>
      <c r="DS35"/>
      <c r="DT35"/>
      <c r="DU35"/>
      <c r="DV35"/>
      <c r="DW35"/>
      <c r="DX35"/>
      <c r="DY35"/>
      <c r="DZ35"/>
      <c r="EA35"/>
      <c r="EB35"/>
      <c r="EC35"/>
      <c r="ED35"/>
      <c r="EE35"/>
      <c r="EF35"/>
      <c r="EG35"/>
      <c r="EH35"/>
      <c r="EI35"/>
      <c r="EJ35"/>
      <c r="EK35"/>
      <c r="EL35"/>
      <c r="EM35"/>
      <c r="EN35"/>
      <c r="EO35"/>
      <c r="EP35"/>
      <c r="EQ35"/>
      <c r="ER35"/>
      <c r="ES35"/>
      <c r="ET35"/>
      <c r="EU35"/>
      <c r="EV35"/>
      <c r="EW35"/>
      <c r="EX35"/>
      <c r="EY35"/>
      <c r="EZ35"/>
      <c r="FA35"/>
      <c r="FB35"/>
      <c r="FC35"/>
      <c r="FD35"/>
      <c r="FE35"/>
      <c r="FF35"/>
      <c r="FG35"/>
      <c r="FH35"/>
      <c r="FI35"/>
      <c r="FJ35"/>
      <c r="FK35"/>
      <c r="FL35"/>
      <c r="FM35"/>
      <c r="FN35"/>
      <c r="FO35"/>
      <c r="FP35"/>
      <c r="FQ35"/>
      <c r="FR35"/>
      <c r="FS35"/>
      <c r="FT35"/>
      <c r="FU35"/>
      <c r="FV35"/>
      <c r="FW35"/>
      <c r="FX35"/>
      <c r="FY35"/>
      <c r="FZ35"/>
      <c r="GA35"/>
      <c r="GB35"/>
      <c r="GC35"/>
      <c r="GD35"/>
      <c r="GE35"/>
      <c r="GF35"/>
      <c r="GG35"/>
      <c r="GH35"/>
      <c r="GI35"/>
      <c r="GJ35"/>
      <c r="GK35"/>
    </row>
    <row r="36" spans="1:193" ht="18" hidden="1" customHeight="1" x14ac:dyDescent="0.25">
      <c r="A36" s="8" t="s">
        <v>38</v>
      </c>
      <c r="B36" s="8">
        <v>922</v>
      </c>
      <c r="C36" s="8">
        <v>75</v>
      </c>
      <c r="D36" s="8">
        <v>810</v>
      </c>
      <c r="E36" s="8">
        <v>37</v>
      </c>
      <c r="F36" s="11">
        <v>17224679</v>
      </c>
      <c r="G36" s="8" t="s">
        <v>197</v>
      </c>
      <c r="H36" s="1">
        <v>43909</v>
      </c>
      <c r="I36" s="14">
        <f t="shared" si="0"/>
        <v>8.1344902386117135E-2</v>
      </c>
      <c r="J36" s="14">
        <f t="shared" si="1"/>
        <v>0.87852494577006512</v>
      </c>
      <c r="K36" s="17">
        <f t="shared" si="2"/>
        <v>5.3527848037110008E-5</v>
      </c>
      <c r="L36" s="8" t="str" cm="1">
        <f t="array" ref="L36">_xlfn.IFS(I36&gt;5%,"High Risk",AND(I36&gt;2%,I36&lt;5%),"Modrate Risk",I36&lt;2%, "Low Risk")</f>
        <v>High Risk</v>
      </c>
      <c r="N36"/>
      <c r="O36"/>
      <c r="P36"/>
      <c r="Q36"/>
      <c r="R36"/>
      <c r="S36"/>
      <c r="T36"/>
      <c r="U36"/>
      <c r="V36"/>
      <c r="W36"/>
      <c r="X36"/>
      <c r="Y36"/>
      <c r="Z36"/>
      <c r="AA36"/>
      <c r="AB36"/>
      <c r="AC36"/>
      <c r="AD36"/>
      <c r="AE36"/>
      <c r="AF36"/>
      <c r="AG36"/>
      <c r="AH36"/>
      <c r="AI36"/>
      <c r="AJ36"/>
      <c r="AK36"/>
      <c r="AL36"/>
      <c r="AM36"/>
      <c r="AN36"/>
      <c r="AO36"/>
      <c r="AP36"/>
      <c r="AQ36"/>
      <c r="AR36"/>
      <c r="AS36"/>
      <c r="AT36"/>
      <c r="AU36"/>
      <c r="AV36"/>
      <c r="AW36"/>
      <c r="AX36"/>
      <c r="AY36"/>
      <c r="AZ36"/>
      <c r="BA36"/>
      <c r="BB36"/>
      <c r="BC36"/>
      <c r="BD36"/>
      <c r="BE36"/>
      <c r="BF36"/>
      <c r="BG36"/>
      <c r="BH36"/>
      <c r="BI36"/>
      <c r="BJ36"/>
      <c r="BK36"/>
      <c r="BL36"/>
      <c r="BM36"/>
      <c r="BN36"/>
      <c r="BO36"/>
      <c r="BP36"/>
      <c r="BQ36"/>
      <c r="BR36"/>
      <c r="BS36"/>
      <c r="BT36"/>
      <c r="BU36"/>
      <c r="BV36"/>
      <c r="BW36"/>
      <c r="BX36"/>
      <c r="BY36"/>
      <c r="BZ36"/>
      <c r="CA36"/>
      <c r="CB36"/>
      <c r="CC36"/>
      <c r="CD36"/>
      <c r="CE36"/>
      <c r="CF36"/>
      <c r="CG36"/>
      <c r="CH36"/>
      <c r="CI36"/>
      <c r="CJ36"/>
      <c r="CK36"/>
      <c r="CL36"/>
      <c r="CM36"/>
      <c r="CN36"/>
      <c r="CO36"/>
      <c r="CP36"/>
      <c r="CQ36"/>
      <c r="CR36"/>
      <c r="CS36"/>
      <c r="CT36"/>
      <c r="CU36"/>
      <c r="CV36"/>
      <c r="CW36"/>
      <c r="CX36"/>
      <c r="CY36"/>
      <c r="CZ36"/>
      <c r="DA36"/>
      <c r="DB36"/>
      <c r="DC36"/>
      <c r="DD36"/>
      <c r="DE36"/>
      <c r="DF36"/>
      <c r="DG36"/>
      <c r="DH36"/>
      <c r="DI36"/>
      <c r="DJ36"/>
      <c r="DK36"/>
      <c r="DL36"/>
      <c r="DM36"/>
      <c r="DN36"/>
      <c r="DO36"/>
      <c r="DP36"/>
      <c r="DQ36"/>
      <c r="DR36"/>
      <c r="DS36"/>
      <c r="DT36"/>
      <c r="DU36"/>
      <c r="DV36"/>
      <c r="DW36"/>
      <c r="DX36"/>
      <c r="DY36"/>
      <c r="DZ36"/>
      <c r="EA36"/>
      <c r="EB36"/>
      <c r="EC36"/>
      <c r="ED36"/>
      <c r="EE36"/>
      <c r="EF36"/>
      <c r="EG36"/>
      <c r="EH36"/>
      <c r="EI36"/>
      <c r="EJ36"/>
      <c r="EK36"/>
      <c r="EL36"/>
      <c r="EM36"/>
      <c r="EN36"/>
      <c r="EO36"/>
      <c r="EP36"/>
      <c r="EQ36"/>
      <c r="ER36"/>
      <c r="ES36"/>
      <c r="ET36"/>
      <c r="EU36"/>
      <c r="EV36"/>
      <c r="EW36"/>
      <c r="EX36"/>
      <c r="EY36"/>
      <c r="EZ36"/>
      <c r="FA36"/>
      <c r="FB36"/>
      <c r="FC36"/>
      <c r="FD36"/>
      <c r="FE36"/>
      <c r="FF36"/>
      <c r="FG36"/>
      <c r="FH36"/>
      <c r="FI36"/>
      <c r="FJ36"/>
      <c r="FK36"/>
      <c r="FL36"/>
      <c r="FM36"/>
      <c r="FN36"/>
      <c r="FO36"/>
      <c r="FP36"/>
      <c r="FQ36"/>
      <c r="FR36"/>
      <c r="FS36"/>
      <c r="FT36"/>
      <c r="FU36"/>
      <c r="FV36"/>
      <c r="FW36"/>
      <c r="FX36"/>
      <c r="FY36"/>
      <c r="FZ36"/>
      <c r="GA36"/>
      <c r="GB36"/>
      <c r="GC36"/>
      <c r="GD36"/>
      <c r="GE36"/>
      <c r="GF36"/>
      <c r="GG36"/>
      <c r="GH36"/>
      <c r="GI36"/>
      <c r="GJ36"/>
      <c r="GK36"/>
    </row>
    <row r="37" spans="1:193" ht="18" customHeight="1" x14ac:dyDescent="0.25">
      <c r="A37" s="9" t="s">
        <v>39</v>
      </c>
      <c r="B37" s="9">
        <v>347923</v>
      </c>
      <c r="C37" s="9">
        <v>9187</v>
      </c>
      <c r="D37" s="9">
        <v>319954</v>
      </c>
      <c r="E37" s="9">
        <v>18782</v>
      </c>
      <c r="F37" s="9">
        <v>19132514</v>
      </c>
      <c r="G37" s="9" t="s">
        <v>199</v>
      </c>
      <c r="H37" s="10">
        <v>43893</v>
      </c>
      <c r="I37" s="15">
        <f t="shared" si="0"/>
        <v>2.6405267832250241E-2</v>
      </c>
      <c r="J37" s="15">
        <f t="shared" si="1"/>
        <v>0.91961152323933748</v>
      </c>
      <c r="K37" s="18">
        <f t="shared" si="2"/>
        <v>1.8184907639424697E-2</v>
      </c>
      <c r="L37" s="9" t="str" cm="1">
        <f t="array" ref="L37">_xlfn.IFS(I37&gt;5%,"High Risk",AND(I37&gt;2%,I37&lt;5%),"Modrate Risk",I37&lt;2%, "Low Risk")</f>
        <v>Modrate Risk</v>
      </c>
      <c r="N37"/>
      <c r="O37"/>
      <c r="P37"/>
      <c r="Q37"/>
      <c r="R37"/>
      <c r="S37"/>
      <c r="T37"/>
      <c r="U37"/>
      <c r="V37"/>
      <c r="W37"/>
      <c r="X37"/>
      <c r="Y37"/>
      <c r="Z37"/>
      <c r="AA37"/>
      <c r="AB37"/>
      <c r="AC37"/>
      <c r="AD37"/>
      <c r="AE37"/>
      <c r="AF37"/>
      <c r="AG37"/>
      <c r="AH37"/>
      <c r="AI37"/>
      <c r="AJ37"/>
      <c r="AK37"/>
      <c r="AL37"/>
      <c r="AM37"/>
      <c r="AN37"/>
      <c r="AO37"/>
      <c r="AP37"/>
      <c r="AQ37"/>
      <c r="AR37"/>
      <c r="AS37"/>
      <c r="AT37"/>
      <c r="AU37"/>
      <c r="AV37"/>
      <c r="AW37"/>
      <c r="AX37"/>
      <c r="AY37"/>
      <c r="AZ37"/>
      <c r="BA37"/>
      <c r="BB37"/>
      <c r="BC37"/>
      <c r="BD37"/>
      <c r="BE37"/>
      <c r="BF37"/>
      <c r="BG37"/>
      <c r="BH37"/>
      <c r="BI37"/>
      <c r="BJ37"/>
      <c r="BK37"/>
      <c r="BL37"/>
      <c r="BM37"/>
      <c r="BN37"/>
      <c r="BO37"/>
      <c r="BP37"/>
      <c r="BQ37"/>
      <c r="BR37"/>
      <c r="BS37"/>
      <c r="BT37"/>
      <c r="BU37"/>
      <c r="BV37"/>
      <c r="BW37"/>
      <c r="BX37"/>
      <c r="BY37"/>
      <c r="BZ37"/>
      <c r="CA37"/>
      <c r="CB37"/>
      <c r="CC37"/>
      <c r="CD37"/>
      <c r="CE37"/>
      <c r="CF37"/>
      <c r="CG37"/>
      <c r="CH37"/>
      <c r="CI37"/>
      <c r="CJ37"/>
      <c r="CK37"/>
      <c r="CL37"/>
      <c r="CM37"/>
      <c r="CN37"/>
      <c r="CO37"/>
      <c r="CP37"/>
      <c r="CQ37"/>
      <c r="CR37"/>
      <c r="CS37"/>
      <c r="CT37"/>
      <c r="CU37"/>
      <c r="CV37"/>
      <c r="CW37"/>
      <c r="CX37"/>
      <c r="CY37"/>
      <c r="CZ37"/>
      <c r="DA37"/>
      <c r="DB37"/>
      <c r="DC37"/>
      <c r="DD37"/>
      <c r="DE37"/>
      <c r="DF37"/>
      <c r="DG37"/>
      <c r="DH37"/>
      <c r="DI37"/>
      <c r="DJ37"/>
      <c r="DK37"/>
      <c r="DL37"/>
      <c r="DM37"/>
      <c r="DN37"/>
      <c r="DO37"/>
      <c r="DP37"/>
      <c r="DQ37"/>
      <c r="DR37"/>
      <c r="DS37"/>
      <c r="DT37"/>
      <c r="DU37"/>
      <c r="DV37"/>
      <c r="DW37"/>
      <c r="DX37"/>
      <c r="DY37"/>
      <c r="DZ37"/>
      <c r="EA37"/>
      <c r="EB37"/>
      <c r="EC37"/>
      <c r="ED37"/>
      <c r="EE37"/>
      <c r="EF37"/>
      <c r="EG37"/>
      <c r="EH37"/>
      <c r="EI37"/>
      <c r="EJ37"/>
      <c r="EK37"/>
      <c r="EL37"/>
      <c r="EM37"/>
      <c r="EN37"/>
      <c r="EO37"/>
      <c r="EP37"/>
      <c r="EQ37"/>
      <c r="ER37"/>
      <c r="ES37"/>
      <c r="ET37"/>
      <c r="EU37"/>
      <c r="EV37"/>
      <c r="EW37"/>
      <c r="EX37"/>
      <c r="EY37"/>
      <c r="EZ37"/>
      <c r="FA37"/>
      <c r="FB37"/>
      <c r="FC37"/>
      <c r="FD37"/>
      <c r="FE37"/>
      <c r="FF37"/>
      <c r="FG37"/>
      <c r="FH37"/>
      <c r="FI37"/>
      <c r="FJ37"/>
      <c r="FK37"/>
      <c r="FL37"/>
      <c r="FM37"/>
      <c r="FN37"/>
      <c r="FO37"/>
      <c r="FP37"/>
      <c r="FQ37"/>
      <c r="FR37"/>
      <c r="FS37"/>
      <c r="FT37"/>
      <c r="FU37"/>
      <c r="FV37"/>
      <c r="FW37"/>
      <c r="FX37"/>
      <c r="FY37"/>
      <c r="FZ37"/>
      <c r="GA37"/>
      <c r="GB37"/>
      <c r="GC37"/>
      <c r="GD37"/>
      <c r="GE37"/>
      <c r="GF37"/>
      <c r="GG37"/>
      <c r="GH37"/>
      <c r="GI37"/>
      <c r="GJ37"/>
      <c r="GK37"/>
    </row>
    <row r="38" spans="1:193" ht="18" hidden="1" customHeight="1" x14ac:dyDescent="0.25">
      <c r="A38" s="8" t="s">
        <v>40</v>
      </c>
      <c r="B38" s="8">
        <v>86783</v>
      </c>
      <c r="C38" s="8">
        <v>4656</v>
      </c>
      <c r="D38" s="8">
        <v>78869</v>
      </c>
      <c r="E38" s="8">
        <v>3258</v>
      </c>
      <c r="F38" s="11">
        <v>1411778724</v>
      </c>
      <c r="G38" s="8" t="s">
        <v>197</v>
      </c>
      <c r="H38" s="1">
        <v>43786</v>
      </c>
      <c r="I38" s="14">
        <f t="shared" si="0"/>
        <v>5.365106069161011E-2</v>
      </c>
      <c r="J38" s="14">
        <f t="shared" si="1"/>
        <v>0.90880702441722461</v>
      </c>
      <c r="K38" s="17">
        <f t="shared" si="2"/>
        <v>6.1470681293536756E-5</v>
      </c>
      <c r="L38" s="8" t="str" cm="1">
        <f t="array" ref="L38">_xlfn.IFS(I38&gt;5%,"High Risk",AND(I38&gt;2%,I38&lt;5%),"Modrate Risk",I38&lt;2%, "Low Risk")</f>
        <v>High Risk</v>
      </c>
      <c r="N38"/>
      <c r="O38"/>
      <c r="P38"/>
      <c r="Q38"/>
      <c r="R38"/>
      <c r="S38"/>
      <c r="T38"/>
      <c r="U38"/>
      <c r="V38"/>
      <c r="W38"/>
      <c r="X38"/>
      <c r="Y38"/>
      <c r="Z38"/>
      <c r="AA38"/>
      <c r="AB38"/>
      <c r="AC38"/>
      <c r="AD38"/>
      <c r="AE38"/>
      <c r="AF38"/>
      <c r="AG38"/>
      <c r="AH38"/>
      <c r="AI38"/>
      <c r="AJ38"/>
      <c r="AK38"/>
      <c r="AL38"/>
      <c r="AM38"/>
      <c r="AN38"/>
      <c r="AO38"/>
      <c r="AP38"/>
      <c r="AQ38"/>
      <c r="AR38"/>
      <c r="AS38"/>
      <c r="AT38"/>
      <c r="AU38"/>
      <c r="AV38"/>
      <c r="AW38"/>
      <c r="AX38"/>
      <c r="AY38"/>
      <c r="AZ38"/>
      <c r="BA38"/>
      <c r="BB38"/>
      <c r="BC38"/>
      <c r="BD38"/>
      <c r="BE38"/>
      <c r="BF38"/>
      <c r="BG38"/>
      <c r="BH38"/>
      <c r="BI38"/>
      <c r="BJ38"/>
      <c r="BK38"/>
      <c r="BL38"/>
      <c r="BM38"/>
      <c r="BN38"/>
      <c r="BO38"/>
      <c r="BP38"/>
      <c r="BQ38"/>
      <c r="BR38"/>
      <c r="BS38"/>
      <c r="BT38"/>
      <c r="BU38"/>
      <c r="BV38"/>
      <c r="BW38"/>
      <c r="BX38"/>
      <c r="BY38"/>
      <c r="BZ38"/>
      <c r="CA38"/>
      <c r="CB38"/>
      <c r="CC38"/>
      <c r="CD38"/>
      <c r="CE38"/>
      <c r="CF38"/>
      <c r="CG38"/>
      <c r="CH38"/>
      <c r="CI38"/>
      <c r="CJ38"/>
      <c r="CK38"/>
      <c r="CL38"/>
      <c r="CM38"/>
      <c r="CN38"/>
      <c r="CO38"/>
      <c r="CP38"/>
      <c r="CQ38"/>
      <c r="CR38"/>
      <c r="CS38"/>
      <c r="CT38"/>
      <c r="CU38"/>
      <c r="CV38"/>
      <c r="CW38"/>
      <c r="CX38"/>
      <c r="CY38"/>
      <c r="CZ38"/>
      <c r="DA38"/>
      <c r="DB38"/>
      <c r="DC38"/>
      <c r="DD38"/>
      <c r="DE38"/>
      <c r="DF38"/>
      <c r="DG38"/>
      <c r="DH38"/>
      <c r="DI38"/>
      <c r="DJ38"/>
      <c r="DK38"/>
      <c r="DL38"/>
      <c r="DM38"/>
      <c r="DN38"/>
      <c r="DO38"/>
      <c r="DP38"/>
      <c r="DQ38"/>
      <c r="DR38"/>
      <c r="DS38"/>
      <c r="DT38"/>
      <c r="DU38"/>
      <c r="DV38"/>
      <c r="DW38"/>
      <c r="DX38"/>
      <c r="DY38"/>
      <c r="DZ38"/>
      <c r="EA38"/>
      <c r="EB38"/>
      <c r="EC38"/>
      <c r="ED38"/>
      <c r="EE38"/>
      <c r="EF38"/>
      <c r="EG38"/>
      <c r="EH38"/>
      <c r="EI38"/>
      <c r="EJ38"/>
      <c r="EK38"/>
      <c r="EL38"/>
      <c r="EM38"/>
      <c r="EN38"/>
      <c r="EO38"/>
      <c r="EP38"/>
      <c r="EQ38"/>
      <c r="ER38"/>
      <c r="ES38"/>
      <c r="ET38"/>
      <c r="EU38"/>
      <c r="EV38"/>
      <c r="EW38"/>
      <c r="EX38"/>
      <c r="EY38"/>
      <c r="EZ38"/>
      <c r="FA38"/>
      <c r="FB38"/>
      <c r="FC38"/>
      <c r="FD38"/>
      <c r="FE38"/>
      <c r="FF38"/>
      <c r="FG38"/>
      <c r="FH38"/>
      <c r="FI38"/>
      <c r="FJ38"/>
      <c r="FK38"/>
      <c r="FL38"/>
      <c r="FM38"/>
      <c r="FN38"/>
      <c r="FO38"/>
      <c r="FP38"/>
      <c r="FQ38"/>
      <c r="FR38"/>
      <c r="FS38"/>
      <c r="FT38"/>
      <c r="FU38"/>
      <c r="FV38"/>
      <c r="FW38"/>
      <c r="FX38"/>
      <c r="FY38"/>
      <c r="FZ38"/>
      <c r="GA38"/>
      <c r="GB38"/>
      <c r="GC38"/>
      <c r="GD38"/>
      <c r="GE38"/>
      <c r="GF38"/>
      <c r="GG38"/>
      <c r="GH38"/>
      <c r="GI38"/>
      <c r="GJ38"/>
      <c r="GK38"/>
    </row>
    <row r="39" spans="1:193" ht="18" hidden="1" customHeight="1" x14ac:dyDescent="0.25">
      <c r="A39" s="9" t="s">
        <v>41</v>
      </c>
      <c r="B39" s="9">
        <v>257101</v>
      </c>
      <c r="C39" s="9">
        <v>8777</v>
      </c>
      <c r="D39" s="9">
        <v>131161</v>
      </c>
      <c r="E39" s="9">
        <v>117163</v>
      </c>
      <c r="F39" s="9">
        <v>50936262</v>
      </c>
      <c r="G39" s="9" t="s">
        <v>199</v>
      </c>
      <c r="H39" s="10">
        <v>43896</v>
      </c>
      <c r="I39" s="15">
        <f t="shared" si="0"/>
        <v>3.4138334740043796E-2</v>
      </c>
      <c r="J39" s="15">
        <f t="shared" si="1"/>
        <v>0.51015359722443709</v>
      </c>
      <c r="K39" s="18">
        <f t="shared" si="2"/>
        <v>5.0475042711222119E-3</v>
      </c>
      <c r="L39" s="9" t="str" cm="1">
        <f t="array" ref="L39">_xlfn.IFS(I39&gt;5%,"High Risk",AND(I39&gt;2%,I39&lt;5%),"Modrate Risk",I39&lt;2%, "Low Risk")</f>
        <v>Modrate Risk</v>
      </c>
      <c r="N39"/>
      <c r="O39"/>
      <c r="P39"/>
      <c r="Q39"/>
      <c r="R39"/>
      <c r="S39"/>
      <c r="T39"/>
      <c r="U39"/>
      <c r="V39"/>
      <c r="W39"/>
      <c r="X39"/>
      <c r="Y39"/>
      <c r="Z39"/>
      <c r="AA39"/>
      <c r="AB39"/>
      <c r="AC39"/>
      <c r="AD39"/>
      <c r="AE39"/>
      <c r="AF39"/>
      <c r="AG39"/>
      <c r="AH39"/>
      <c r="AI39"/>
      <c r="AJ39"/>
      <c r="AK39"/>
      <c r="AL39"/>
      <c r="AM39"/>
      <c r="AN39"/>
      <c r="AO39"/>
      <c r="AP39"/>
      <c r="AQ39"/>
      <c r="AR39"/>
      <c r="AS39"/>
      <c r="AT39"/>
      <c r="AU39"/>
      <c r="AV39"/>
      <c r="AW39"/>
      <c r="AX39"/>
      <c r="AY39"/>
      <c r="AZ39"/>
      <c r="BA39"/>
      <c r="BB39"/>
      <c r="BC39"/>
      <c r="BD39"/>
      <c r="BE39"/>
      <c r="BF39"/>
      <c r="BG39"/>
      <c r="BH39"/>
      <c r="BI39"/>
      <c r="BJ39"/>
      <c r="BK39"/>
      <c r="BL39"/>
      <c r="BM39"/>
      <c r="BN39"/>
      <c r="BO39"/>
      <c r="BP39"/>
      <c r="BQ39"/>
      <c r="BR39"/>
      <c r="BS39"/>
      <c r="BT39"/>
      <c r="BU39"/>
      <c r="BV39"/>
      <c r="BW39"/>
      <c r="BX39"/>
      <c r="BY39"/>
      <c r="BZ39"/>
      <c r="CA39"/>
      <c r="CB39"/>
      <c r="CC39"/>
      <c r="CD39"/>
      <c r="CE39"/>
      <c r="CF39"/>
      <c r="CG39"/>
      <c r="CH39"/>
      <c r="CI39"/>
      <c r="CJ39"/>
      <c r="CK39"/>
      <c r="CL39"/>
      <c r="CM39"/>
      <c r="CN39"/>
      <c r="CO39"/>
      <c r="CP39"/>
      <c r="CQ39"/>
      <c r="CR39"/>
      <c r="CS39"/>
      <c r="CT39"/>
      <c r="CU39"/>
      <c r="CV39"/>
      <c r="CW39"/>
      <c r="CX39"/>
      <c r="CY39"/>
      <c r="CZ39"/>
      <c r="DA39"/>
      <c r="DB39"/>
      <c r="DC39"/>
      <c r="DD39"/>
      <c r="DE39"/>
      <c r="DF39"/>
      <c r="DG39"/>
      <c r="DH39"/>
      <c r="DI39"/>
      <c r="DJ39"/>
      <c r="DK39"/>
      <c r="DL39"/>
      <c r="DM39"/>
      <c r="DN39"/>
      <c r="DO39"/>
      <c r="DP39"/>
      <c r="DQ39"/>
      <c r="DR39"/>
      <c r="DS39"/>
      <c r="DT39"/>
      <c r="DU39"/>
      <c r="DV39"/>
      <c r="DW39"/>
      <c r="DX39"/>
      <c r="DY39"/>
      <c r="DZ39"/>
      <c r="EA39"/>
      <c r="EB39"/>
      <c r="EC39"/>
      <c r="ED39"/>
      <c r="EE39"/>
      <c r="EF39"/>
      <c r="EG39"/>
      <c r="EH39"/>
      <c r="EI39"/>
      <c r="EJ39"/>
      <c r="EK39"/>
      <c r="EL39"/>
      <c r="EM39"/>
      <c r="EN39"/>
      <c r="EO39"/>
      <c r="EP39"/>
      <c r="EQ39"/>
      <c r="ER39"/>
      <c r="ES39"/>
      <c r="ET39"/>
      <c r="EU39"/>
      <c r="EV39"/>
      <c r="EW39"/>
      <c r="EX39"/>
      <c r="EY39"/>
      <c r="EZ39"/>
      <c r="FA39"/>
      <c r="FB39"/>
      <c r="FC39"/>
      <c r="FD39"/>
      <c r="FE39"/>
      <c r="FF39"/>
      <c r="FG39"/>
      <c r="FH39"/>
      <c r="FI39"/>
      <c r="FJ39"/>
      <c r="FK39"/>
      <c r="FL39"/>
      <c r="FM39"/>
      <c r="FN39"/>
      <c r="FO39"/>
      <c r="FP39"/>
      <c r="FQ39"/>
      <c r="FR39"/>
      <c r="FS39"/>
      <c r="FT39"/>
      <c r="FU39"/>
      <c r="FV39"/>
      <c r="FW39"/>
      <c r="FX39"/>
      <c r="FY39"/>
      <c r="FZ39"/>
      <c r="GA39"/>
      <c r="GB39"/>
      <c r="GC39"/>
      <c r="GD39"/>
      <c r="GE39"/>
      <c r="GF39"/>
      <c r="GG39"/>
      <c r="GH39"/>
      <c r="GI39"/>
      <c r="GJ39"/>
      <c r="GK39"/>
    </row>
    <row r="40" spans="1:193" ht="18" hidden="1" customHeight="1" x14ac:dyDescent="0.25">
      <c r="A40" s="8" t="s">
        <v>42</v>
      </c>
      <c r="B40" s="8">
        <v>354</v>
      </c>
      <c r="C40" s="8">
        <v>7</v>
      </c>
      <c r="D40" s="8">
        <v>328</v>
      </c>
      <c r="E40" s="8">
        <v>19</v>
      </c>
      <c r="F40" s="8">
        <v>871326</v>
      </c>
      <c r="G40" s="8" t="s">
        <v>197</v>
      </c>
      <c r="H40" s="1">
        <v>43951</v>
      </c>
      <c r="I40" s="14">
        <f t="shared" si="0"/>
        <v>1.977401129943503E-2</v>
      </c>
      <c r="J40" s="14">
        <f t="shared" si="1"/>
        <v>0.92655367231638419</v>
      </c>
      <c r="K40" s="17">
        <f t="shared" si="2"/>
        <v>4.0627732903643414E-4</v>
      </c>
      <c r="L40" s="8" t="str" cm="1">
        <f t="array" ref="L40">_xlfn.IFS(I40&gt;5%,"High Risk",AND(I40&gt;2%,I40&lt;5%),"Modrate Risk",I40&lt;2%, "Low Risk")</f>
        <v>Low Risk</v>
      </c>
      <c r="N40"/>
      <c r="O40"/>
      <c r="P40"/>
      <c r="Q40"/>
      <c r="R40"/>
      <c r="S40"/>
      <c r="T40"/>
      <c r="U40"/>
      <c r="V40"/>
      <c r="W40"/>
      <c r="X40"/>
      <c r="Y40"/>
      <c r="Z40"/>
      <c r="AA40"/>
      <c r="AB40"/>
      <c r="AC40"/>
      <c r="AD40"/>
      <c r="AE40"/>
      <c r="AF40"/>
      <c r="AG40"/>
      <c r="AH40"/>
      <c r="AI40"/>
      <c r="AJ40"/>
      <c r="AK40"/>
      <c r="AL40"/>
      <c r="AM40"/>
      <c r="AN40"/>
      <c r="AO40"/>
      <c r="AP40"/>
      <c r="AQ40"/>
      <c r="AR40"/>
      <c r="AS40"/>
      <c r="AT40"/>
      <c r="AU40"/>
      <c r="AV40"/>
      <c r="AW40"/>
      <c r="AX40"/>
      <c r="AY40"/>
      <c r="AZ40"/>
      <c r="BA40"/>
      <c r="BB40"/>
      <c r="BC40"/>
      <c r="BD40"/>
      <c r="BE40"/>
      <c r="BF40"/>
      <c r="BG40"/>
      <c r="BH40"/>
      <c r="BI40"/>
      <c r="BJ40"/>
      <c r="BK40"/>
      <c r="BL40"/>
      <c r="BM40"/>
      <c r="BN40"/>
      <c r="BO40"/>
      <c r="BP40"/>
      <c r="BQ40"/>
      <c r="BR40"/>
      <c r="BS40"/>
      <c r="BT40"/>
      <c r="BU40"/>
      <c r="BV40"/>
      <c r="BW40"/>
      <c r="BX40"/>
      <c r="BY40"/>
      <c r="BZ40"/>
      <c r="CA40"/>
      <c r="CB40"/>
      <c r="CC40"/>
      <c r="CD40"/>
      <c r="CE40"/>
      <c r="CF40"/>
      <c r="CG40"/>
      <c r="CH40"/>
      <c r="CI40"/>
      <c r="CJ40"/>
      <c r="CK40"/>
      <c r="CL40"/>
      <c r="CM40"/>
      <c r="CN40"/>
      <c r="CO40"/>
      <c r="CP40"/>
      <c r="CQ40"/>
      <c r="CR40"/>
      <c r="CS40"/>
      <c r="CT40"/>
      <c r="CU40"/>
      <c r="CV40"/>
      <c r="CW40"/>
      <c r="CX40"/>
      <c r="CY40"/>
      <c r="CZ40"/>
      <c r="DA40"/>
      <c r="DB40"/>
      <c r="DC40"/>
      <c r="DD40"/>
      <c r="DE40"/>
      <c r="DF40"/>
      <c r="DG40"/>
      <c r="DH40"/>
      <c r="DI40"/>
      <c r="DJ40"/>
      <c r="DK40"/>
      <c r="DL40"/>
      <c r="DM40"/>
      <c r="DN40"/>
      <c r="DO40"/>
      <c r="DP40"/>
      <c r="DQ40"/>
      <c r="DR40"/>
      <c r="DS40"/>
      <c r="DT40"/>
      <c r="DU40"/>
      <c r="DV40"/>
      <c r="DW40"/>
      <c r="DX40"/>
      <c r="DY40"/>
      <c r="DZ40"/>
      <c r="EA40"/>
      <c r="EB40"/>
      <c r="EC40"/>
      <c r="ED40"/>
      <c r="EE40"/>
      <c r="EF40"/>
      <c r="EG40"/>
      <c r="EH40"/>
      <c r="EI40"/>
      <c r="EJ40"/>
      <c r="EK40"/>
      <c r="EL40"/>
      <c r="EM40"/>
      <c r="EN40"/>
      <c r="EO40"/>
      <c r="EP40"/>
      <c r="EQ40"/>
      <c r="ER40"/>
      <c r="ES40"/>
      <c r="ET40"/>
      <c r="EU40"/>
      <c r="EV40"/>
      <c r="EW40"/>
      <c r="EX40"/>
      <c r="EY40"/>
      <c r="EZ40"/>
      <c r="FA40"/>
      <c r="FB40"/>
      <c r="FC40"/>
      <c r="FD40"/>
      <c r="FE40"/>
      <c r="FF40"/>
      <c r="FG40"/>
      <c r="FH40"/>
      <c r="FI40"/>
      <c r="FJ40"/>
      <c r="FK40"/>
      <c r="FL40"/>
      <c r="FM40"/>
      <c r="FN40"/>
      <c r="FO40"/>
      <c r="FP40"/>
      <c r="FQ40"/>
      <c r="FR40"/>
      <c r="FS40"/>
      <c r="FT40"/>
      <c r="FU40"/>
      <c r="FV40"/>
      <c r="FW40"/>
      <c r="FX40"/>
      <c r="FY40"/>
      <c r="FZ40"/>
      <c r="GA40"/>
      <c r="GB40"/>
      <c r="GC40"/>
      <c r="GD40"/>
      <c r="GE40"/>
      <c r="GF40"/>
      <c r="GG40"/>
      <c r="GH40"/>
      <c r="GI40"/>
      <c r="GJ40"/>
      <c r="GK40"/>
    </row>
    <row r="41" spans="1:193" ht="18" hidden="1" customHeight="1" x14ac:dyDescent="0.25">
      <c r="A41" s="9" t="s">
        <v>43</v>
      </c>
      <c r="B41" s="9">
        <v>3200</v>
      </c>
      <c r="C41" s="9">
        <v>54</v>
      </c>
      <c r="D41" s="9">
        <v>829</v>
      </c>
      <c r="E41" s="9">
        <v>2317</v>
      </c>
      <c r="F41" s="9">
        <v>5530506</v>
      </c>
      <c r="G41" s="9" t="s">
        <v>197</v>
      </c>
      <c r="H41" s="10">
        <v>43904</v>
      </c>
      <c r="I41" s="15">
        <f t="shared" si="0"/>
        <v>1.6875000000000001E-2</v>
      </c>
      <c r="J41" s="15">
        <f t="shared" si="1"/>
        <v>0.25906249999999997</v>
      </c>
      <c r="K41" s="18">
        <f t="shared" si="2"/>
        <v>5.7860890124701071E-4</v>
      </c>
      <c r="L41" s="9" t="str" cm="1">
        <f t="array" ref="L41">_xlfn.IFS(I41&gt;5%,"High Risk",AND(I41&gt;2%,I41&lt;5%),"Modrate Risk",I41&lt;2%, "Low Risk")</f>
        <v>Low Risk</v>
      </c>
      <c r="N41"/>
      <c r="O41"/>
      <c r="P41"/>
      <c r="Q41"/>
      <c r="R41"/>
      <c r="S41"/>
      <c r="T41"/>
      <c r="U41"/>
      <c r="V41"/>
      <c r="W41"/>
      <c r="X41"/>
      <c r="Y41"/>
      <c r="Z41"/>
      <c r="AA41"/>
      <c r="AB41"/>
      <c r="AC41"/>
      <c r="AD41"/>
      <c r="AE41"/>
      <c r="AF41"/>
      <c r="AG41"/>
      <c r="AH41"/>
      <c r="AI41"/>
      <c r="AJ41"/>
      <c r="AK41"/>
      <c r="AL41"/>
      <c r="AM41"/>
      <c r="AN41"/>
      <c r="AO41"/>
      <c r="AP41"/>
      <c r="AQ41"/>
      <c r="AR41"/>
      <c r="AS41"/>
      <c r="AT41"/>
      <c r="AU41"/>
      <c r="AV41"/>
      <c r="AW41"/>
      <c r="AX41"/>
      <c r="AY41"/>
      <c r="AZ41"/>
      <c r="BA41"/>
      <c r="BB41"/>
      <c r="BC41"/>
      <c r="BD41"/>
      <c r="BE41"/>
      <c r="BF41"/>
      <c r="BG41"/>
      <c r="BH41"/>
      <c r="BI41"/>
      <c r="BJ41"/>
      <c r="BK41"/>
      <c r="BL41"/>
      <c r="BM41"/>
      <c r="BN41"/>
      <c r="BO41"/>
      <c r="BP41"/>
      <c r="BQ41"/>
      <c r="BR41"/>
      <c r="BS41"/>
      <c r="BT41"/>
      <c r="BU41"/>
      <c r="BV41"/>
      <c r="BW41"/>
      <c r="BX41"/>
      <c r="BY41"/>
      <c r="BZ41"/>
      <c r="CA41"/>
      <c r="CB41"/>
      <c r="CC41"/>
      <c r="CD41"/>
      <c r="CE41"/>
      <c r="CF41"/>
      <c r="CG41"/>
      <c r="CH41"/>
      <c r="CI41"/>
      <c r="CJ41"/>
      <c r="CK41"/>
      <c r="CL41"/>
      <c r="CM41"/>
      <c r="CN41"/>
      <c r="CO41"/>
      <c r="CP41"/>
      <c r="CQ41"/>
      <c r="CR41"/>
      <c r="CS41"/>
      <c r="CT41"/>
      <c r="CU41"/>
      <c r="CV41"/>
      <c r="CW41"/>
      <c r="CX41"/>
      <c r="CY41"/>
      <c r="CZ41"/>
      <c r="DA41"/>
      <c r="DB41"/>
      <c r="DC41"/>
      <c r="DD41"/>
      <c r="DE41"/>
      <c r="DF41"/>
      <c r="DG41"/>
      <c r="DH41"/>
      <c r="DI41"/>
      <c r="DJ41"/>
      <c r="DK41"/>
      <c r="DL41"/>
      <c r="DM41"/>
      <c r="DN41"/>
      <c r="DO41"/>
      <c r="DP41"/>
      <c r="DQ41"/>
      <c r="DR41"/>
      <c r="DS41"/>
      <c r="DT41"/>
      <c r="DU41"/>
      <c r="DV41"/>
      <c r="DW41"/>
      <c r="DX41"/>
      <c r="DY41"/>
      <c r="DZ41"/>
      <c r="EA41"/>
      <c r="EB41"/>
      <c r="EC41"/>
      <c r="ED41"/>
      <c r="EE41"/>
      <c r="EF41"/>
      <c r="EG41"/>
      <c r="EH41"/>
      <c r="EI41"/>
      <c r="EJ41"/>
      <c r="EK41"/>
      <c r="EL41"/>
      <c r="EM41"/>
      <c r="EN41"/>
      <c r="EO41"/>
      <c r="EP41"/>
      <c r="EQ41"/>
      <c r="ER41"/>
      <c r="ES41"/>
      <c r="ET41"/>
      <c r="EU41"/>
      <c r="EV41"/>
      <c r="EW41"/>
      <c r="EX41"/>
      <c r="EY41"/>
      <c r="EZ41"/>
      <c r="FA41"/>
      <c r="FB41"/>
      <c r="FC41"/>
      <c r="FD41"/>
      <c r="FE41"/>
      <c r="FF41"/>
      <c r="FG41"/>
      <c r="FH41"/>
      <c r="FI41"/>
      <c r="FJ41"/>
      <c r="FK41"/>
      <c r="FL41"/>
      <c r="FM41"/>
      <c r="FN41"/>
      <c r="FO41"/>
      <c r="FP41"/>
      <c r="FQ41"/>
      <c r="FR41"/>
      <c r="FS41"/>
      <c r="FT41"/>
      <c r="FU41"/>
      <c r="FV41"/>
      <c r="FW41"/>
      <c r="FX41"/>
      <c r="FY41"/>
      <c r="FZ41"/>
      <c r="GA41"/>
      <c r="GB41"/>
      <c r="GC41"/>
      <c r="GD41"/>
      <c r="GE41"/>
      <c r="GF41"/>
      <c r="GG41"/>
      <c r="GH41"/>
      <c r="GI41"/>
      <c r="GJ41"/>
      <c r="GK41"/>
    </row>
    <row r="42" spans="1:193" ht="18" hidden="1" customHeight="1" x14ac:dyDescent="0.25">
      <c r="A42" s="8" t="s">
        <v>44</v>
      </c>
      <c r="B42" s="8">
        <v>8844</v>
      </c>
      <c r="C42" s="8">
        <v>208</v>
      </c>
      <c r="D42" s="8">
        <v>5700</v>
      </c>
      <c r="E42" s="8">
        <v>2936</v>
      </c>
      <c r="F42" s="11">
        <v>96076573</v>
      </c>
      <c r="G42" s="8" t="s">
        <v>197</v>
      </c>
      <c r="H42" s="1">
        <v>43900</v>
      </c>
      <c r="I42" s="14">
        <f t="shared" si="0"/>
        <v>2.3518769787426504E-2</v>
      </c>
      <c r="J42" s="14">
        <f t="shared" si="1"/>
        <v>0.64450474898236088</v>
      </c>
      <c r="K42" s="17">
        <f t="shared" si="2"/>
        <v>9.2051576402501362E-5</v>
      </c>
      <c r="L42" s="8" t="str" cm="1">
        <f t="array" ref="L42">_xlfn.IFS(I42&gt;5%,"High Risk",AND(I42&gt;2%,I42&lt;5%),"Modrate Risk",I42&lt;2%, "Low Risk")</f>
        <v>Modrate Risk</v>
      </c>
      <c r="N42"/>
      <c r="O42"/>
      <c r="P42"/>
      <c r="Q42"/>
      <c r="R42"/>
      <c r="S42"/>
      <c r="T42"/>
      <c r="U42"/>
      <c r="V42"/>
      <c r="W42"/>
      <c r="X42"/>
      <c r="Y42"/>
      <c r="Z42"/>
      <c r="AA42"/>
      <c r="AB42"/>
      <c r="AC42"/>
      <c r="AD42"/>
      <c r="AE42"/>
      <c r="AF42"/>
      <c r="AG42"/>
      <c r="AH42"/>
      <c r="AI42"/>
      <c r="AJ42"/>
      <c r="AK42"/>
      <c r="AL42"/>
      <c r="AM42"/>
      <c r="AN42"/>
      <c r="AO42"/>
      <c r="AP42"/>
      <c r="AQ42"/>
      <c r="AR42"/>
      <c r="AS42"/>
      <c r="AT42"/>
      <c r="AU42"/>
      <c r="AV42"/>
      <c r="AW42"/>
      <c r="AX42"/>
      <c r="AY42"/>
      <c r="AZ42"/>
      <c r="BA42"/>
      <c r="BB42"/>
      <c r="BC42"/>
      <c r="BD42"/>
      <c r="BE42"/>
      <c r="BF42"/>
      <c r="BG42"/>
      <c r="BH42"/>
      <c r="BI42"/>
      <c r="BJ42"/>
      <c r="BK42"/>
      <c r="BL42"/>
      <c r="BM42"/>
      <c r="BN42"/>
      <c r="BO42"/>
      <c r="BP42"/>
      <c r="BQ42"/>
      <c r="BR42"/>
      <c r="BS42"/>
      <c r="BT42"/>
      <c r="BU42"/>
      <c r="BV42"/>
      <c r="BW42"/>
      <c r="BX42"/>
      <c r="BY42"/>
      <c r="BZ42"/>
      <c r="CA42"/>
      <c r="CB42"/>
      <c r="CC42"/>
      <c r="CD42"/>
      <c r="CE42"/>
      <c r="CF42"/>
      <c r="CG42"/>
      <c r="CH42"/>
      <c r="CI42"/>
      <c r="CJ42"/>
      <c r="CK42"/>
      <c r="CL42"/>
      <c r="CM42"/>
      <c r="CN42"/>
      <c r="CO42"/>
      <c r="CP42"/>
      <c r="CQ42"/>
      <c r="CR42"/>
      <c r="CS42"/>
      <c r="CT42"/>
      <c r="CU42"/>
      <c r="CV42"/>
      <c r="CW42"/>
      <c r="CX42"/>
      <c r="CY42"/>
      <c r="CZ42"/>
      <c r="DA42"/>
      <c r="DB42"/>
      <c r="DC42"/>
      <c r="DD42"/>
      <c r="DE42"/>
      <c r="DF42"/>
      <c r="DG42"/>
      <c r="DH42"/>
      <c r="DI42"/>
      <c r="DJ42"/>
      <c r="DK42"/>
      <c r="DL42"/>
      <c r="DM42"/>
      <c r="DN42"/>
      <c r="DO42"/>
      <c r="DP42"/>
      <c r="DQ42"/>
      <c r="DR42"/>
      <c r="DS42"/>
      <c r="DT42"/>
      <c r="DU42"/>
      <c r="DV42"/>
      <c r="DW42"/>
      <c r="DX42"/>
      <c r="DY42"/>
      <c r="DZ42"/>
      <c r="EA42"/>
      <c r="EB42"/>
      <c r="EC42"/>
      <c r="ED42"/>
      <c r="EE42"/>
      <c r="EF42"/>
      <c r="EG42"/>
      <c r="EH42"/>
      <c r="EI42"/>
      <c r="EJ42"/>
      <c r="EK42"/>
      <c r="EL42"/>
      <c r="EM42"/>
      <c r="EN42"/>
      <c r="EO42"/>
      <c r="EP42"/>
      <c r="EQ42"/>
      <c r="ER42"/>
      <c r="ES42"/>
      <c r="ET42"/>
      <c r="EU42"/>
      <c r="EV42"/>
      <c r="EW42"/>
      <c r="EX42"/>
      <c r="EY42"/>
      <c r="EZ42"/>
      <c r="FA42"/>
      <c r="FB42"/>
      <c r="FC42"/>
      <c r="FD42"/>
      <c r="FE42"/>
      <c r="FF42"/>
      <c r="FG42"/>
      <c r="FH42"/>
      <c r="FI42"/>
      <c r="FJ42"/>
      <c r="FK42"/>
      <c r="FL42"/>
      <c r="FM42"/>
      <c r="FN42"/>
      <c r="FO42"/>
      <c r="FP42"/>
      <c r="FQ42"/>
      <c r="FR42"/>
      <c r="FS42"/>
      <c r="FT42"/>
      <c r="FU42"/>
      <c r="FV42"/>
      <c r="FW42"/>
      <c r="FX42"/>
      <c r="FY42"/>
      <c r="FZ42"/>
      <c r="GA42"/>
      <c r="GB42"/>
      <c r="GC42"/>
      <c r="GD42"/>
      <c r="GE42"/>
      <c r="GF42"/>
      <c r="GG42"/>
      <c r="GH42"/>
      <c r="GI42"/>
      <c r="GJ42"/>
      <c r="GK42"/>
    </row>
    <row r="43" spans="1:193" ht="18" hidden="1" customHeight="1" x14ac:dyDescent="0.25">
      <c r="A43" s="9" t="s">
        <v>45</v>
      </c>
      <c r="B43" s="9">
        <v>15841</v>
      </c>
      <c r="C43" s="9">
        <v>115</v>
      </c>
      <c r="D43" s="9">
        <v>3824</v>
      </c>
      <c r="E43" s="9">
        <v>11902</v>
      </c>
      <c r="F43" s="9">
        <v>5098730</v>
      </c>
      <c r="G43" s="9" t="s">
        <v>198</v>
      </c>
      <c r="H43" s="10">
        <v>43896</v>
      </c>
      <c r="I43" s="15">
        <f t="shared" si="0"/>
        <v>7.2596426993245377E-3</v>
      </c>
      <c r="J43" s="15">
        <f t="shared" si="1"/>
        <v>0.24139890158449592</v>
      </c>
      <c r="K43" s="18">
        <f t="shared" si="2"/>
        <v>3.1068520984637352E-3</v>
      </c>
      <c r="L43" s="9" t="str" cm="1">
        <f t="array" ref="L43">_xlfn.IFS(I43&gt;5%,"High Risk",AND(I43&gt;2%,I43&lt;5%),"Modrate Risk",I43&lt;2%, "Low Risk")</f>
        <v>Low Risk</v>
      </c>
      <c r="N43"/>
      <c r="O43"/>
      <c r="P43"/>
      <c r="Q43"/>
      <c r="R43"/>
      <c r="S43"/>
      <c r="T43"/>
      <c r="U43"/>
      <c r="V43"/>
      <c r="W43"/>
      <c r="X43"/>
      <c r="Y43"/>
      <c r="Z43"/>
      <c r="AA43"/>
      <c r="AB43"/>
      <c r="AC43"/>
      <c r="AD43"/>
      <c r="AE43"/>
      <c r="AF43"/>
      <c r="AG43"/>
      <c r="AH43"/>
      <c r="AI43"/>
      <c r="AJ43"/>
      <c r="AK43"/>
      <c r="AL43"/>
      <c r="AM43"/>
      <c r="AN43"/>
      <c r="AO43"/>
      <c r="AP43"/>
      <c r="AQ43"/>
      <c r="AR43"/>
      <c r="AS43"/>
      <c r="AT43"/>
      <c r="AU43"/>
      <c r="AV43"/>
      <c r="AW43"/>
      <c r="AX43"/>
      <c r="AY43"/>
      <c r="AZ43"/>
      <c r="BA43"/>
      <c r="BB43"/>
      <c r="BC43"/>
      <c r="BD43"/>
      <c r="BE43"/>
      <c r="BF43"/>
      <c r="BG43"/>
      <c r="BH43"/>
      <c r="BI43"/>
      <c r="BJ43"/>
      <c r="BK43"/>
      <c r="BL43"/>
      <c r="BM43"/>
      <c r="BN43"/>
      <c r="BO43"/>
      <c r="BP43"/>
      <c r="BQ43"/>
      <c r="BR43"/>
      <c r="BS43"/>
      <c r="BT43"/>
      <c r="BU43"/>
      <c r="BV43"/>
      <c r="BW43"/>
      <c r="BX43"/>
      <c r="BY43"/>
      <c r="BZ43"/>
      <c r="CA43"/>
      <c r="CB43"/>
      <c r="CC43"/>
      <c r="CD43"/>
      <c r="CE43"/>
      <c r="CF43"/>
      <c r="CG43"/>
      <c r="CH43"/>
      <c r="CI43"/>
      <c r="CJ43"/>
      <c r="CK43"/>
      <c r="CL43"/>
      <c r="CM43"/>
      <c r="CN43"/>
      <c r="CO43"/>
      <c r="CP43"/>
      <c r="CQ43"/>
      <c r="CR43"/>
      <c r="CS43"/>
      <c r="CT43"/>
      <c r="CU43"/>
      <c r="CV43"/>
      <c r="CW43"/>
      <c r="CX43"/>
      <c r="CY43"/>
      <c r="CZ43"/>
      <c r="DA43"/>
      <c r="DB43"/>
      <c r="DC43"/>
      <c r="DD43"/>
      <c r="DE43"/>
      <c r="DF43"/>
      <c r="DG43"/>
      <c r="DH43"/>
      <c r="DI43"/>
      <c r="DJ43"/>
      <c r="DK43"/>
      <c r="DL43"/>
      <c r="DM43"/>
      <c r="DN43"/>
      <c r="DO43"/>
      <c r="DP43"/>
      <c r="DQ43"/>
      <c r="DR43"/>
      <c r="DS43"/>
      <c r="DT43"/>
      <c r="DU43"/>
      <c r="DV43"/>
      <c r="DW43"/>
      <c r="DX43"/>
      <c r="DY43"/>
      <c r="DZ43"/>
      <c r="EA43"/>
      <c r="EB43"/>
      <c r="EC43"/>
      <c r="ED43"/>
      <c r="EE43"/>
      <c r="EF43"/>
      <c r="EG43"/>
      <c r="EH43"/>
      <c r="EI43"/>
      <c r="EJ43"/>
      <c r="EK43"/>
      <c r="EL43"/>
      <c r="EM43"/>
      <c r="EN43"/>
      <c r="EO43"/>
      <c r="EP43"/>
      <c r="EQ43"/>
      <c r="ER43"/>
      <c r="ES43"/>
      <c r="ET43"/>
      <c r="EU43"/>
      <c r="EV43"/>
      <c r="EW43"/>
      <c r="EX43"/>
      <c r="EY43"/>
      <c r="EZ43"/>
      <c r="FA43"/>
      <c r="FB43"/>
      <c r="FC43"/>
      <c r="FD43"/>
      <c r="FE43"/>
      <c r="FF43"/>
      <c r="FG43"/>
      <c r="FH43"/>
      <c r="FI43"/>
      <c r="FJ43"/>
      <c r="FK43"/>
      <c r="FL43"/>
      <c r="FM43"/>
      <c r="FN43"/>
      <c r="FO43"/>
      <c r="FP43"/>
      <c r="FQ43"/>
      <c r="FR43"/>
      <c r="FS43"/>
      <c r="FT43"/>
      <c r="FU43"/>
      <c r="FV43"/>
      <c r="FW43"/>
      <c r="FX43"/>
      <c r="FY43"/>
      <c r="FZ43"/>
      <c r="GA43"/>
      <c r="GB43"/>
      <c r="GC43"/>
      <c r="GD43"/>
      <c r="GE43"/>
      <c r="GF43"/>
      <c r="GG43"/>
      <c r="GH43"/>
      <c r="GI43"/>
      <c r="GJ43"/>
      <c r="GK43"/>
    </row>
    <row r="44" spans="1:193" ht="18" hidden="1" customHeight="1" x14ac:dyDescent="0.25">
      <c r="A44" s="8" t="s">
        <v>46</v>
      </c>
      <c r="B44" s="8">
        <v>15655</v>
      </c>
      <c r="C44" s="8">
        <v>96</v>
      </c>
      <c r="D44" s="8">
        <v>10361</v>
      </c>
      <c r="E44" s="8">
        <v>5198</v>
      </c>
      <c r="F44" s="11">
        <v>26172000</v>
      </c>
      <c r="G44" s="8" t="s">
        <v>197</v>
      </c>
      <c r="H44" s="1">
        <v>43901</v>
      </c>
      <c r="I44" s="14">
        <f t="shared" si="0"/>
        <v>6.1322261258383902E-3</v>
      </c>
      <c r="J44" s="14">
        <f t="shared" si="1"/>
        <v>0.66183328010220377</v>
      </c>
      <c r="K44" s="17">
        <f t="shared" si="2"/>
        <v>5.9815833715421058E-4</v>
      </c>
      <c r="L44" s="8" t="str" cm="1">
        <f t="array" ref="L44">_xlfn.IFS(I44&gt;5%,"High Risk",AND(I44&gt;2%,I44&lt;5%),"Modrate Risk",I44&lt;2%, "Low Risk")</f>
        <v>Low Risk</v>
      </c>
      <c r="N44"/>
      <c r="O44"/>
      <c r="P44"/>
      <c r="Q44"/>
      <c r="R44"/>
      <c r="S44"/>
      <c r="T44"/>
      <c r="U44"/>
      <c r="V44"/>
      <c r="W44"/>
      <c r="X44"/>
      <c r="Y44"/>
      <c r="Z44"/>
      <c r="AA44"/>
      <c r="AB44"/>
      <c r="AC44"/>
      <c r="AD44"/>
      <c r="AE44"/>
      <c r="AF44"/>
      <c r="AG44"/>
      <c r="AH44"/>
      <c r="AI44"/>
      <c r="AJ44"/>
      <c r="AK44"/>
      <c r="AL44"/>
      <c r="AM44"/>
      <c r="AN44"/>
      <c r="AO44"/>
      <c r="AP44"/>
      <c r="AQ44"/>
      <c r="AR44"/>
      <c r="AS44"/>
      <c r="AT44"/>
      <c r="AU44"/>
      <c r="AV44"/>
      <c r="AW44"/>
      <c r="AX44"/>
      <c r="AY44"/>
      <c r="AZ44"/>
      <c r="BA44"/>
      <c r="BB44"/>
      <c r="BC44"/>
      <c r="BD44"/>
      <c r="BE44"/>
      <c r="BF44"/>
      <c r="BG44"/>
      <c r="BH44"/>
      <c r="BI44"/>
      <c r="BJ44"/>
      <c r="BK44"/>
      <c r="BL44"/>
      <c r="BM44"/>
      <c r="BN44"/>
      <c r="BO44"/>
      <c r="BP44"/>
      <c r="BQ44"/>
      <c r="BR44"/>
      <c r="BS44"/>
      <c r="BT44"/>
      <c r="BU44"/>
      <c r="BV44"/>
      <c r="BW44"/>
      <c r="BX44"/>
      <c r="BY44"/>
      <c r="BZ44"/>
      <c r="CA44"/>
      <c r="CB44"/>
      <c r="CC44"/>
      <c r="CD44"/>
      <c r="CE44"/>
      <c r="CF44"/>
      <c r="CG44"/>
      <c r="CH44"/>
      <c r="CI44"/>
      <c r="CJ44"/>
      <c r="CK44"/>
      <c r="CL44"/>
      <c r="CM44"/>
      <c r="CN44"/>
      <c r="CO44"/>
      <c r="CP44"/>
      <c r="CQ44"/>
      <c r="CR44"/>
      <c r="CS44"/>
      <c r="CT44"/>
      <c r="CU44"/>
      <c r="CV44"/>
      <c r="CW44"/>
      <c r="CX44"/>
      <c r="CY44"/>
      <c r="CZ44"/>
      <c r="DA44"/>
      <c r="DB44"/>
      <c r="DC44"/>
      <c r="DD44"/>
      <c r="DE44"/>
      <c r="DF44"/>
      <c r="DG44"/>
      <c r="DH44"/>
      <c r="DI44"/>
      <c r="DJ44"/>
      <c r="DK44"/>
      <c r="DL44"/>
      <c r="DM44"/>
      <c r="DN44"/>
      <c r="DO44"/>
      <c r="DP44"/>
      <c r="DQ44"/>
      <c r="DR44"/>
      <c r="DS44"/>
      <c r="DT44"/>
      <c r="DU44"/>
      <c r="DV44"/>
      <c r="DW44"/>
      <c r="DX44"/>
      <c r="DY44"/>
      <c r="DZ44"/>
      <c r="EA44"/>
      <c r="EB44"/>
      <c r="EC44"/>
      <c r="ED44"/>
      <c r="EE44"/>
      <c r="EF44"/>
      <c r="EG44"/>
      <c r="EH44"/>
      <c r="EI44"/>
      <c r="EJ44"/>
      <c r="EK44"/>
      <c r="EL44"/>
      <c r="EM44"/>
      <c r="EN44"/>
      <c r="EO44"/>
      <c r="EP44"/>
      <c r="EQ44"/>
      <c r="ER44"/>
      <c r="ES44"/>
      <c r="ET44"/>
      <c r="EU44"/>
      <c r="EV44"/>
      <c r="EW44"/>
      <c r="EX44"/>
      <c r="EY44"/>
      <c r="EZ44"/>
      <c r="FA44"/>
      <c r="FB44"/>
      <c r="FC44"/>
      <c r="FD44"/>
      <c r="FE44"/>
      <c r="FF44"/>
      <c r="FG44"/>
      <c r="FH44"/>
      <c r="FI44"/>
      <c r="FJ44"/>
      <c r="FK44"/>
      <c r="FL44"/>
      <c r="FM44"/>
      <c r="FN44"/>
      <c r="FO44"/>
      <c r="FP44"/>
      <c r="FQ44"/>
      <c r="FR44"/>
      <c r="FS44"/>
      <c r="FT44"/>
      <c r="FU44"/>
      <c r="FV44"/>
      <c r="FW44"/>
      <c r="FX44"/>
      <c r="FY44"/>
      <c r="FZ44"/>
      <c r="GA44"/>
      <c r="GB44"/>
      <c r="GC44"/>
      <c r="GD44"/>
      <c r="GE44"/>
      <c r="GF44"/>
      <c r="GG44"/>
      <c r="GH44"/>
      <c r="GI44"/>
      <c r="GJ44"/>
      <c r="GK44"/>
    </row>
    <row r="45" spans="1:193" ht="18" hidden="1" customHeight="1" x14ac:dyDescent="0.25">
      <c r="A45" s="9" t="s">
        <v>47</v>
      </c>
      <c r="B45" s="9">
        <v>4881</v>
      </c>
      <c r="C45" s="9">
        <v>139</v>
      </c>
      <c r="D45" s="9">
        <v>3936</v>
      </c>
      <c r="E45" s="9">
        <v>806</v>
      </c>
      <c r="F45" s="9">
        <v>4102577</v>
      </c>
      <c r="G45" s="9" t="s">
        <v>196</v>
      </c>
      <c r="H45" s="10">
        <v>43886</v>
      </c>
      <c r="I45" s="15">
        <f t="shared" si="0"/>
        <v>2.8477770948576113E-2</v>
      </c>
      <c r="J45" s="15">
        <f t="shared" si="1"/>
        <v>0.80639213275968036</v>
      </c>
      <c r="K45" s="18">
        <f t="shared" si="2"/>
        <v>1.1897400097548444E-3</v>
      </c>
      <c r="L45" s="9" t="str" cm="1">
        <f t="array" ref="L45">_xlfn.IFS(I45&gt;5%,"High Risk",AND(I45&gt;2%,I45&lt;5%),"Modrate Risk",I45&lt;2%, "Low Risk")</f>
        <v>Modrate Risk</v>
      </c>
      <c r="N45"/>
      <c r="O45"/>
      <c r="P45"/>
      <c r="Q45"/>
      <c r="R45"/>
      <c r="S45"/>
      <c r="T45"/>
      <c r="U45"/>
      <c r="V45"/>
      <c r="W45"/>
      <c r="X45"/>
      <c r="Y45"/>
      <c r="Z45"/>
      <c r="AA45"/>
      <c r="AB45"/>
      <c r="AC45"/>
      <c r="AD45"/>
      <c r="AE45"/>
      <c r="AF45"/>
      <c r="AG45"/>
      <c r="AH45"/>
      <c r="AI45"/>
      <c r="AJ45"/>
      <c r="AK45"/>
      <c r="AL45"/>
      <c r="AM45"/>
      <c r="AN45"/>
      <c r="AO45"/>
      <c r="AP45"/>
      <c r="AQ45"/>
      <c r="AR45"/>
      <c r="AS45"/>
      <c r="AT45"/>
      <c r="AU45"/>
      <c r="AV45"/>
      <c r="AW45"/>
      <c r="AX45"/>
      <c r="AY45"/>
      <c r="AZ45"/>
      <c r="BA45"/>
      <c r="BB45"/>
      <c r="BC45"/>
      <c r="BD45"/>
      <c r="BE45"/>
      <c r="BF45"/>
      <c r="BG45"/>
      <c r="BH45"/>
      <c r="BI45"/>
      <c r="BJ45"/>
      <c r="BK45"/>
      <c r="BL45"/>
      <c r="BM45"/>
      <c r="BN45"/>
      <c r="BO45"/>
      <c r="BP45"/>
      <c r="BQ45"/>
      <c r="BR45"/>
      <c r="BS45"/>
      <c r="BT45"/>
      <c r="BU45"/>
      <c r="BV45"/>
      <c r="BW45"/>
      <c r="BX45"/>
      <c r="BY45"/>
      <c r="BZ45"/>
      <c r="CA45"/>
      <c r="CB45"/>
      <c r="CC45"/>
      <c r="CD45"/>
      <c r="CE45"/>
      <c r="CF45"/>
      <c r="CG45"/>
      <c r="CH45"/>
      <c r="CI45"/>
      <c r="CJ45"/>
      <c r="CK45"/>
      <c r="CL45"/>
      <c r="CM45"/>
      <c r="CN45"/>
      <c r="CO45"/>
      <c r="CP45"/>
      <c r="CQ45"/>
      <c r="CR45"/>
      <c r="CS45"/>
      <c r="CT45"/>
      <c r="CU45"/>
      <c r="CV45"/>
      <c r="CW45"/>
      <c r="CX45"/>
      <c r="CY45"/>
      <c r="CZ45"/>
      <c r="DA45"/>
      <c r="DB45"/>
      <c r="DC45"/>
      <c r="DD45"/>
      <c r="DE45"/>
      <c r="DF45"/>
      <c r="DG45"/>
      <c r="DH45"/>
      <c r="DI45"/>
      <c r="DJ45"/>
      <c r="DK45"/>
      <c r="DL45"/>
      <c r="DM45"/>
      <c r="DN45"/>
      <c r="DO45"/>
      <c r="DP45"/>
      <c r="DQ45"/>
      <c r="DR45"/>
      <c r="DS45"/>
      <c r="DT45"/>
      <c r="DU45"/>
      <c r="DV45"/>
      <c r="DW45"/>
      <c r="DX45"/>
      <c r="DY45"/>
      <c r="DZ45"/>
      <c r="EA45"/>
      <c r="EB45"/>
      <c r="EC45"/>
      <c r="ED45"/>
      <c r="EE45"/>
      <c r="EF45"/>
      <c r="EG45"/>
      <c r="EH45"/>
      <c r="EI45"/>
      <c r="EJ45"/>
      <c r="EK45"/>
      <c r="EL45"/>
      <c r="EM45"/>
      <c r="EN45"/>
      <c r="EO45"/>
      <c r="EP45"/>
      <c r="EQ45"/>
      <c r="ER45"/>
      <c r="ES45"/>
      <c r="ET45"/>
      <c r="EU45"/>
      <c r="EV45"/>
      <c r="EW45"/>
      <c r="EX45"/>
      <c r="EY45"/>
      <c r="EZ45"/>
      <c r="FA45"/>
      <c r="FB45"/>
      <c r="FC45"/>
      <c r="FD45"/>
      <c r="FE45"/>
      <c r="FF45"/>
      <c r="FG45"/>
      <c r="FH45"/>
      <c r="FI45"/>
      <c r="FJ45"/>
      <c r="FK45"/>
      <c r="FL45"/>
      <c r="FM45"/>
      <c r="FN45"/>
      <c r="FO45"/>
      <c r="FP45"/>
      <c r="FQ45"/>
      <c r="FR45"/>
      <c r="FS45"/>
      <c r="FT45"/>
      <c r="FU45"/>
      <c r="FV45"/>
      <c r="FW45"/>
      <c r="FX45"/>
      <c r="FY45"/>
      <c r="FZ45"/>
      <c r="GA45"/>
      <c r="GB45"/>
      <c r="GC45"/>
      <c r="GD45"/>
      <c r="GE45"/>
      <c r="GF45"/>
      <c r="GG45"/>
      <c r="GH45"/>
      <c r="GI45"/>
      <c r="GJ45"/>
      <c r="GK45"/>
    </row>
    <row r="46" spans="1:193" ht="18" hidden="1" customHeight="1" x14ac:dyDescent="0.25">
      <c r="A46" s="8" t="s">
        <v>48</v>
      </c>
      <c r="B46" s="8">
        <v>2532</v>
      </c>
      <c r="C46" s="8">
        <v>87</v>
      </c>
      <c r="D46" s="8">
        <v>2351</v>
      </c>
      <c r="E46" s="8">
        <v>94</v>
      </c>
      <c r="F46" s="8">
        <v>11325899</v>
      </c>
      <c r="G46" s="8" t="s">
        <v>198</v>
      </c>
      <c r="H46" s="1">
        <v>43901</v>
      </c>
      <c r="I46" s="14">
        <f t="shared" si="0"/>
        <v>3.4360189573459717E-2</v>
      </c>
      <c r="J46" s="14">
        <f t="shared" si="1"/>
        <v>0.92851500789889418</v>
      </c>
      <c r="K46" s="17">
        <f t="shared" si="2"/>
        <v>2.2355841244920161E-4</v>
      </c>
      <c r="L46" s="8" t="str" cm="1">
        <f t="array" ref="L46">_xlfn.IFS(I46&gt;5%,"High Risk",AND(I46&gt;2%,I46&lt;5%),"Modrate Risk",I46&lt;2%, "Low Risk")</f>
        <v>Modrate Risk</v>
      </c>
      <c r="N46"/>
      <c r="O46"/>
      <c r="P46"/>
      <c r="Q46"/>
      <c r="R46"/>
      <c r="S46"/>
      <c r="T46"/>
      <c r="U46"/>
      <c r="V46"/>
      <c r="W46"/>
      <c r="X46"/>
      <c r="Y46"/>
      <c r="Z46"/>
      <c r="AA46"/>
      <c r="AB46"/>
      <c r="AC46"/>
      <c r="AD46"/>
      <c r="AE46"/>
      <c r="AF46"/>
      <c r="AG46"/>
      <c r="AH46"/>
      <c r="AI46"/>
      <c r="AJ46"/>
      <c r="AK46"/>
      <c r="AL46"/>
      <c r="AM46"/>
      <c r="AN46"/>
      <c r="AO46"/>
      <c r="AP46"/>
      <c r="AQ46"/>
      <c r="AR46"/>
      <c r="AS46"/>
      <c r="AT46"/>
      <c r="AU46"/>
      <c r="AV46"/>
      <c r="AW46"/>
      <c r="AX46"/>
      <c r="AY46"/>
      <c r="AZ46"/>
      <c r="BA46"/>
      <c r="BB46"/>
      <c r="BC46"/>
      <c r="BD46"/>
      <c r="BE46"/>
      <c r="BF46"/>
      <c r="BG46"/>
      <c r="BH46"/>
      <c r="BI46"/>
      <c r="BJ46"/>
      <c r="BK46"/>
      <c r="BL46"/>
      <c r="BM46"/>
      <c r="BN46"/>
      <c r="BO46"/>
      <c r="BP46"/>
      <c r="BQ46"/>
      <c r="BR46"/>
      <c r="BS46"/>
      <c r="BT46"/>
      <c r="BU46"/>
      <c r="BV46"/>
      <c r="BW46"/>
      <c r="BX46"/>
      <c r="BY46"/>
      <c r="BZ46"/>
      <c r="CA46"/>
      <c r="CB46"/>
      <c r="CC46"/>
      <c r="CD46"/>
      <c r="CE46"/>
      <c r="CF46"/>
      <c r="CG46"/>
      <c r="CH46"/>
      <c r="CI46"/>
      <c r="CJ46"/>
      <c r="CK46"/>
      <c r="CL46"/>
      <c r="CM46"/>
      <c r="CN46"/>
      <c r="CO46"/>
      <c r="CP46"/>
      <c r="CQ46"/>
      <c r="CR46"/>
      <c r="CS46"/>
      <c r="CT46"/>
      <c r="CU46"/>
      <c r="CV46"/>
      <c r="CW46"/>
      <c r="CX46"/>
      <c r="CY46"/>
      <c r="CZ46"/>
      <c r="DA46"/>
      <c r="DB46"/>
      <c r="DC46"/>
      <c r="DD46"/>
      <c r="DE46"/>
      <c r="DF46"/>
      <c r="DG46"/>
      <c r="DH46"/>
      <c r="DI46"/>
      <c r="DJ46"/>
      <c r="DK46"/>
      <c r="DL46"/>
      <c r="DM46"/>
      <c r="DN46"/>
      <c r="DO46"/>
      <c r="DP46"/>
      <c r="DQ46"/>
      <c r="DR46"/>
      <c r="DS46"/>
      <c r="DT46"/>
      <c r="DU46"/>
      <c r="DV46"/>
      <c r="DW46"/>
      <c r="DX46"/>
      <c r="DY46"/>
      <c r="DZ46"/>
      <c r="EA46"/>
      <c r="EB46"/>
      <c r="EC46"/>
      <c r="ED46"/>
      <c r="EE46"/>
      <c r="EF46"/>
      <c r="EG46"/>
      <c r="EH46"/>
      <c r="EI46"/>
      <c r="EJ46"/>
      <c r="EK46"/>
      <c r="EL46"/>
      <c r="EM46"/>
      <c r="EN46"/>
      <c r="EO46"/>
      <c r="EP46"/>
      <c r="EQ46"/>
      <c r="ER46"/>
      <c r="ES46"/>
      <c r="ET46"/>
      <c r="EU46"/>
      <c r="EV46"/>
      <c r="EW46"/>
      <c r="EX46"/>
      <c r="EY46"/>
      <c r="EZ46"/>
      <c r="FA46"/>
      <c r="FB46"/>
      <c r="FC46"/>
      <c r="FD46"/>
      <c r="FE46"/>
      <c r="FF46"/>
      <c r="FG46"/>
      <c r="FH46"/>
      <c r="FI46"/>
      <c r="FJ46"/>
      <c r="FK46"/>
      <c r="FL46"/>
      <c r="FM46"/>
      <c r="FN46"/>
      <c r="FO46"/>
      <c r="FP46"/>
      <c r="FQ46"/>
      <c r="FR46"/>
      <c r="FS46"/>
      <c r="FT46"/>
      <c r="FU46"/>
      <c r="FV46"/>
      <c r="FW46"/>
      <c r="FX46"/>
      <c r="FY46"/>
      <c r="FZ46"/>
      <c r="GA46"/>
      <c r="GB46"/>
      <c r="GC46"/>
      <c r="GD46"/>
      <c r="GE46"/>
      <c r="GF46"/>
      <c r="GG46"/>
      <c r="GH46"/>
      <c r="GI46"/>
      <c r="GJ46"/>
      <c r="GK46"/>
    </row>
    <row r="47" spans="1:193" ht="18" hidden="1" customHeight="1" x14ac:dyDescent="0.25">
      <c r="A47" s="9" t="s">
        <v>49</v>
      </c>
      <c r="B47" s="9">
        <v>1060</v>
      </c>
      <c r="C47" s="9">
        <v>19</v>
      </c>
      <c r="D47" s="9">
        <v>852</v>
      </c>
      <c r="E47" s="9">
        <v>189</v>
      </c>
      <c r="F47" s="9">
        <v>1208238</v>
      </c>
      <c r="G47" s="9" t="s">
        <v>195</v>
      </c>
      <c r="H47" s="10">
        <v>43899</v>
      </c>
      <c r="I47" s="15">
        <f t="shared" si="0"/>
        <v>1.7924528301886792E-2</v>
      </c>
      <c r="J47" s="15">
        <f t="shared" si="1"/>
        <v>0.80377358490566042</v>
      </c>
      <c r="K47" s="18">
        <f t="shared" si="2"/>
        <v>8.7731059609116749E-4</v>
      </c>
      <c r="L47" s="9" t="str" cm="1">
        <f t="array" ref="L47">_xlfn.IFS(I47&gt;5%,"High Risk",AND(I47&gt;2%,I47&lt;5%),"Modrate Risk",I47&lt;2%, "Low Risk")</f>
        <v>Low Risk</v>
      </c>
      <c r="N47"/>
      <c r="O47"/>
      <c r="P47"/>
      <c r="Q47"/>
      <c r="R47"/>
      <c r="S47"/>
      <c r="T47"/>
      <c r="U47"/>
      <c r="V47"/>
      <c r="W47"/>
      <c r="X47"/>
      <c r="Y47"/>
      <c r="Z47"/>
      <c r="AA47"/>
      <c r="AB47"/>
      <c r="AC47"/>
      <c r="AD47"/>
      <c r="AE47"/>
      <c r="AF47"/>
      <c r="AG47"/>
      <c r="AH47"/>
      <c r="AI47"/>
      <c r="AJ47"/>
      <c r="AK47"/>
      <c r="AL47"/>
      <c r="AM47"/>
      <c r="AN47"/>
      <c r="AO47"/>
      <c r="AP47"/>
      <c r="AQ47"/>
      <c r="AR47"/>
      <c r="AS47"/>
      <c r="AT47"/>
      <c r="AU47"/>
      <c r="AV47"/>
      <c r="AW47"/>
      <c r="AX47"/>
      <c r="AY47"/>
      <c r="AZ47"/>
      <c r="BA47"/>
      <c r="BB47"/>
      <c r="BC47"/>
      <c r="BD47"/>
      <c r="BE47"/>
      <c r="BF47"/>
      <c r="BG47"/>
      <c r="BH47"/>
      <c r="BI47"/>
      <c r="BJ47"/>
      <c r="BK47"/>
      <c r="BL47"/>
      <c r="BM47"/>
      <c r="BN47"/>
      <c r="BO47"/>
      <c r="BP47"/>
      <c r="BQ47"/>
      <c r="BR47"/>
      <c r="BS47"/>
      <c r="BT47"/>
      <c r="BU47"/>
      <c r="BV47"/>
      <c r="BW47"/>
      <c r="BX47"/>
      <c r="BY47"/>
      <c r="BZ47"/>
      <c r="CA47"/>
      <c r="CB47"/>
      <c r="CC47"/>
      <c r="CD47"/>
      <c r="CE47"/>
      <c r="CF47"/>
      <c r="CG47"/>
      <c r="CH47"/>
      <c r="CI47"/>
      <c r="CJ47"/>
      <c r="CK47"/>
      <c r="CL47"/>
      <c r="CM47"/>
      <c r="CN47"/>
      <c r="CO47"/>
      <c r="CP47"/>
      <c r="CQ47"/>
      <c r="CR47"/>
      <c r="CS47"/>
      <c r="CT47"/>
      <c r="CU47"/>
      <c r="CV47"/>
      <c r="CW47"/>
      <c r="CX47"/>
      <c r="CY47"/>
      <c r="CZ47"/>
      <c r="DA47"/>
      <c r="DB47"/>
      <c r="DC47"/>
      <c r="DD47"/>
      <c r="DE47"/>
      <c r="DF47"/>
      <c r="DG47"/>
      <c r="DH47"/>
      <c r="DI47"/>
      <c r="DJ47"/>
      <c r="DK47"/>
      <c r="DL47"/>
      <c r="DM47"/>
      <c r="DN47"/>
      <c r="DO47"/>
      <c r="DP47"/>
      <c r="DQ47"/>
      <c r="DR47"/>
      <c r="DS47"/>
      <c r="DT47"/>
      <c r="DU47"/>
      <c r="DV47"/>
      <c r="DW47"/>
      <c r="DX47"/>
      <c r="DY47"/>
      <c r="DZ47"/>
      <c r="EA47"/>
      <c r="EB47"/>
      <c r="EC47"/>
      <c r="ED47"/>
      <c r="EE47"/>
      <c r="EF47"/>
      <c r="EG47"/>
      <c r="EH47"/>
      <c r="EI47"/>
      <c r="EJ47"/>
      <c r="EK47"/>
      <c r="EL47"/>
      <c r="EM47"/>
      <c r="EN47"/>
      <c r="EO47"/>
      <c r="EP47"/>
      <c r="EQ47"/>
      <c r="ER47"/>
      <c r="ES47"/>
      <c r="ET47"/>
      <c r="EU47"/>
      <c r="EV47"/>
      <c r="EW47"/>
      <c r="EX47"/>
      <c r="EY47"/>
      <c r="EZ47"/>
      <c r="FA47"/>
      <c r="FB47"/>
      <c r="FC47"/>
      <c r="FD47"/>
      <c r="FE47"/>
      <c r="FF47"/>
      <c r="FG47"/>
      <c r="FH47"/>
      <c r="FI47"/>
      <c r="FJ47"/>
      <c r="FK47"/>
      <c r="FL47"/>
      <c r="FM47"/>
      <c r="FN47"/>
      <c r="FO47"/>
      <c r="FP47"/>
      <c r="FQ47"/>
      <c r="FR47"/>
      <c r="FS47"/>
      <c r="FT47"/>
      <c r="FU47"/>
      <c r="FV47"/>
      <c r="FW47"/>
      <c r="FX47"/>
      <c r="FY47"/>
      <c r="FZ47"/>
      <c r="GA47"/>
      <c r="GB47"/>
      <c r="GC47"/>
      <c r="GD47"/>
      <c r="GE47"/>
      <c r="GF47"/>
      <c r="GG47"/>
      <c r="GH47"/>
      <c r="GI47"/>
      <c r="GJ47"/>
      <c r="GK47"/>
    </row>
    <row r="48" spans="1:193" ht="18" hidden="1" customHeight="1" x14ac:dyDescent="0.25">
      <c r="A48" s="8" t="s">
        <v>50</v>
      </c>
      <c r="B48" s="8">
        <v>15516</v>
      </c>
      <c r="C48" s="8">
        <v>373</v>
      </c>
      <c r="D48" s="8">
        <v>11428</v>
      </c>
      <c r="E48" s="8">
        <v>3715</v>
      </c>
      <c r="F48" s="8">
        <v>10711019</v>
      </c>
      <c r="G48" s="8" t="s">
        <v>196</v>
      </c>
      <c r="H48" s="1">
        <v>43891</v>
      </c>
      <c r="I48" s="14">
        <f t="shared" si="0"/>
        <v>2.4039700953854087E-2</v>
      </c>
      <c r="J48" s="14">
        <f t="shared" si="1"/>
        <v>0.7365300335137922</v>
      </c>
      <c r="K48" s="17">
        <f t="shared" si="2"/>
        <v>1.4486016689915311E-3</v>
      </c>
      <c r="L48" s="8" t="str" cm="1">
        <f t="array" ref="L48">_xlfn.IFS(I48&gt;5%,"High Risk",AND(I48&gt;2%,I48&lt;5%),"Modrate Risk",I48&lt;2%, "Low Risk")</f>
        <v>Modrate Risk</v>
      </c>
      <c r="N48"/>
      <c r="O48"/>
      <c r="P48"/>
      <c r="Q48"/>
      <c r="R48"/>
      <c r="S48"/>
      <c r="T48"/>
      <c r="U48"/>
      <c r="V48"/>
      <c r="W48"/>
      <c r="X48"/>
      <c r="Y48"/>
      <c r="Z48"/>
      <c r="AA48"/>
      <c r="AB48"/>
      <c r="AC48"/>
      <c r="AD48"/>
      <c r="AE48"/>
      <c r="AF48"/>
      <c r="AG48"/>
      <c r="AH48"/>
      <c r="AI48"/>
      <c r="AJ48"/>
      <c r="AK48"/>
      <c r="AL48"/>
      <c r="AM48"/>
      <c r="AN48"/>
      <c r="AO48"/>
      <c r="AP48"/>
      <c r="AQ48"/>
      <c r="AR48"/>
      <c r="AS48"/>
      <c r="AT48"/>
      <c r="AU48"/>
      <c r="AV48"/>
      <c r="AW48"/>
      <c r="AX48"/>
      <c r="AY48"/>
      <c r="AZ48"/>
      <c r="BA48"/>
      <c r="BB48"/>
      <c r="BC48"/>
      <c r="BD48"/>
      <c r="BE48"/>
      <c r="BF48"/>
      <c r="BG48"/>
      <c r="BH48"/>
      <c r="BI48"/>
      <c r="BJ48"/>
      <c r="BK48"/>
      <c r="BL48"/>
      <c r="BM48"/>
      <c r="BN48"/>
      <c r="BO48"/>
      <c r="BP48"/>
      <c r="BQ48"/>
      <c r="BR48"/>
      <c r="BS48"/>
      <c r="BT48"/>
      <c r="BU48"/>
      <c r="BV48"/>
      <c r="BW48"/>
      <c r="BX48"/>
      <c r="BY48"/>
      <c r="BZ48"/>
      <c r="CA48"/>
      <c r="CB48"/>
      <c r="CC48"/>
      <c r="CD48"/>
      <c r="CE48"/>
      <c r="CF48"/>
      <c r="CG48"/>
      <c r="CH48"/>
      <c r="CI48"/>
      <c r="CJ48"/>
      <c r="CK48"/>
      <c r="CL48"/>
      <c r="CM48"/>
      <c r="CN48"/>
      <c r="CO48"/>
      <c r="CP48"/>
      <c r="CQ48"/>
      <c r="CR48"/>
      <c r="CS48"/>
      <c r="CT48"/>
      <c r="CU48"/>
      <c r="CV48"/>
      <c r="CW48"/>
      <c r="CX48"/>
      <c r="CY48"/>
      <c r="CZ48"/>
      <c r="DA48"/>
      <c r="DB48"/>
      <c r="DC48"/>
      <c r="DD48"/>
      <c r="DE48"/>
      <c r="DF48"/>
      <c r="DG48"/>
      <c r="DH48"/>
      <c r="DI48"/>
      <c r="DJ48"/>
      <c r="DK48"/>
      <c r="DL48"/>
      <c r="DM48"/>
      <c r="DN48"/>
      <c r="DO48"/>
      <c r="DP48"/>
      <c r="DQ48"/>
      <c r="DR48"/>
      <c r="DS48"/>
      <c r="DT48"/>
      <c r="DU48"/>
      <c r="DV48"/>
      <c r="DW48"/>
      <c r="DX48"/>
      <c r="DY48"/>
      <c r="DZ48"/>
      <c r="EA48"/>
      <c r="EB48"/>
      <c r="EC48"/>
      <c r="ED48"/>
      <c r="EE48"/>
      <c r="EF48"/>
      <c r="EG48"/>
      <c r="EH48"/>
      <c r="EI48"/>
      <c r="EJ48"/>
      <c r="EK48"/>
      <c r="EL48"/>
      <c r="EM48"/>
      <c r="EN48"/>
      <c r="EO48"/>
      <c r="EP48"/>
      <c r="EQ48"/>
      <c r="ER48"/>
      <c r="ES48"/>
      <c r="ET48"/>
      <c r="EU48"/>
      <c r="EV48"/>
      <c r="EW48"/>
      <c r="EX48"/>
      <c r="EY48"/>
      <c r="EZ48"/>
      <c r="FA48"/>
      <c r="FB48"/>
      <c r="FC48"/>
      <c r="FD48"/>
      <c r="FE48"/>
      <c r="FF48"/>
      <c r="FG48"/>
      <c r="FH48"/>
      <c r="FI48"/>
      <c r="FJ48"/>
      <c r="FK48"/>
      <c r="FL48"/>
      <c r="FM48"/>
      <c r="FN48"/>
      <c r="FO48"/>
      <c r="FP48"/>
      <c r="FQ48"/>
      <c r="FR48"/>
      <c r="FS48"/>
      <c r="FT48"/>
      <c r="FU48"/>
      <c r="FV48"/>
      <c r="FW48"/>
      <c r="FX48"/>
      <c r="FY48"/>
      <c r="FZ48"/>
      <c r="GA48"/>
      <c r="GB48"/>
      <c r="GC48"/>
      <c r="GD48"/>
      <c r="GE48"/>
      <c r="GF48"/>
      <c r="GG48"/>
      <c r="GH48"/>
      <c r="GI48"/>
      <c r="GJ48"/>
      <c r="GK48"/>
    </row>
    <row r="49" spans="1:193" ht="18" hidden="1" customHeight="1" x14ac:dyDescent="0.25">
      <c r="A49" s="9" t="s">
        <v>51</v>
      </c>
      <c r="B49" s="9">
        <v>13761</v>
      </c>
      <c r="C49" s="9">
        <v>613</v>
      </c>
      <c r="D49" s="9">
        <v>12605</v>
      </c>
      <c r="E49" s="9">
        <v>543</v>
      </c>
      <c r="F49" s="9">
        <v>5794279</v>
      </c>
      <c r="G49" s="9" t="s">
        <v>196</v>
      </c>
      <c r="H49" s="10">
        <v>43888</v>
      </c>
      <c r="I49" s="15">
        <f t="shared" si="0"/>
        <v>4.454618123682872E-2</v>
      </c>
      <c r="J49" s="15">
        <f t="shared" si="1"/>
        <v>0.91599447714555626</v>
      </c>
      <c r="K49" s="18">
        <f t="shared" si="2"/>
        <v>2.3749287875160997E-3</v>
      </c>
      <c r="L49" s="9" t="str" cm="1">
        <f t="array" ref="L49">_xlfn.IFS(I49&gt;5%,"High Risk",AND(I49&gt;2%,I49&lt;5%),"Modrate Risk",I49&lt;2%, "Low Risk")</f>
        <v>Modrate Risk</v>
      </c>
      <c r="N49"/>
      <c r="O49"/>
      <c r="P49"/>
      <c r="Q49"/>
      <c r="R49"/>
      <c r="S49"/>
      <c r="T49"/>
      <c r="U49"/>
      <c r="V49"/>
      <c r="W49"/>
      <c r="X49"/>
      <c r="Y49"/>
      <c r="Z49"/>
      <c r="AA49"/>
      <c r="AB49"/>
      <c r="AC49"/>
      <c r="AD49"/>
      <c r="AE49"/>
      <c r="AF49"/>
      <c r="AG49"/>
      <c r="AH49"/>
      <c r="AI49"/>
      <c r="AJ49"/>
      <c r="AK49"/>
      <c r="AL49"/>
      <c r="AM49"/>
      <c r="AN49"/>
      <c r="AO49"/>
      <c r="AP49"/>
      <c r="AQ49"/>
      <c r="AR49"/>
      <c r="AS49"/>
      <c r="AT49"/>
      <c r="AU49"/>
      <c r="AV49"/>
      <c r="AW49"/>
      <c r="AX49"/>
      <c r="AY49"/>
      <c r="AZ49"/>
      <c r="BA49"/>
      <c r="BB49"/>
      <c r="BC49"/>
      <c r="BD49"/>
      <c r="BE49"/>
      <c r="BF49"/>
      <c r="BG49"/>
      <c r="BH49"/>
      <c r="BI49"/>
      <c r="BJ49"/>
      <c r="BK49"/>
      <c r="BL49"/>
      <c r="BM49"/>
      <c r="BN49"/>
      <c r="BO49"/>
      <c r="BP49"/>
      <c r="BQ49"/>
      <c r="BR49"/>
      <c r="BS49"/>
      <c r="BT49"/>
      <c r="BU49"/>
      <c r="BV49"/>
      <c r="BW49"/>
      <c r="BX49"/>
      <c r="BY49"/>
      <c r="BZ49"/>
      <c r="CA49"/>
      <c r="CB49"/>
      <c r="CC49"/>
      <c r="CD49"/>
      <c r="CE49"/>
      <c r="CF49"/>
      <c r="CG49"/>
      <c r="CH49"/>
      <c r="CI49"/>
      <c r="CJ49"/>
      <c r="CK49"/>
      <c r="CL49"/>
      <c r="CM49"/>
      <c r="CN49"/>
      <c r="CO49"/>
      <c r="CP49"/>
      <c r="CQ49"/>
      <c r="CR49"/>
      <c r="CS49"/>
      <c r="CT49"/>
      <c r="CU49"/>
      <c r="CV49"/>
      <c r="CW49"/>
      <c r="CX49"/>
      <c r="CY49"/>
      <c r="CZ49"/>
      <c r="DA49"/>
      <c r="DB49"/>
      <c r="DC49"/>
      <c r="DD49"/>
      <c r="DE49"/>
      <c r="DF49"/>
      <c r="DG49"/>
      <c r="DH49"/>
      <c r="DI49"/>
      <c r="DJ49"/>
      <c r="DK49"/>
      <c r="DL49"/>
      <c r="DM49"/>
      <c r="DN49"/>
      <c r="DO49"/>
      <c r="DP49"/>
      <c r="DQ49"/>
      <c r="DR49"/>
      <c r="DS49"/>
      <c r="DT49"/>
      <c r="DU49"/>
      <c r="DV49"/>
      <c r="DW49"/>
      <c r="DX49"/>
      <c r="DY49"/>
      <c r="DZ49"/>
      <c r="EA49"/>
      <c r="EB49"/>
      <c r="EC49"/>
      <c r="ED49"/>
      <c r="EE49"/>
      <c r="EF49"/>
      <c r="EG49"/>
      <c r="EH49"/>
      <c r="EI49"/>
      <c r="EJ49"/>
      <c r="EK49"/>
      <c r="EL49"/>
      <c r="EM49"/>
      <c r="EN49"/>
      <c r="EO49"/>
      <c r="EP49"/>
      <c r="EQ49"/>
      <c r="ER49"/>
      <c r="ES49"/>
      <c r="ET49"/>
      <c r="EU49"/>
      <c r="EV49"/>
      <c r="EW49"/>
      <c r="EX49"/>
      <c r="EY49"/>
      <c r="EZ49"/>
      <c r="FA49"/>
      <c r="FB49"/>
      <c r="FC49"/>
      <c r="FD49"/>
      <c r="FE49"/>
      <c r="FF49"/>
      <c r="FG49"/>
      <c r="FH49"/>
      <c r="FI49"/>
      <c r="FJ49"/>
      <c r="FK49"/>
      <c r="FL49"/>
      <c r="FM49"/>
      <c r="FN49"/>
      <c r="FO49"/>
      <c r="FP49"/>
      <c r="FQ49"/>
      <c r="FR49"/>
      <c r="FS49"/>
      <c r="FT49"/>
      <c r="FU49"/>
      <c r="FV49"/>
      <c r="FW49"/>
      <c r="FX49"/>
      <c r="FY49"/>
      <c r="FZ49"/>
      <c r="GA49"/>
      <c r="GB49"/>
      <c r="GC49"/>
      <c r="GD49"/>
      <c r="GE49"/>
      <c r="GF49"/>
      <c r="GG49"/>
      <c r="GH49"/>
      <c r="GI49"/>
      <c r="GJ49"/>
      <c r="GK49"/>
    </row>
    <row r="50" spans="1:193" ht="18" hidden="1" customHeight="1" x14ac:dyDescent="0.25">
      <c r="A50" s="8" t="s">
        <v>52</v>
      </c>
      <c r="B50" s="8">
        <v>5059</v>
      </c>
      <c r="C50" s="8">
        <v>58</v>
      </c>
      <c r="D50" s="8">
        <v>4977</v>
      </c>
      <c r="E50" s="8">
        <v>24</v>
      </c>
      <c r="F50" s="8">
        <v>989387</v>
      </c>
      <c r="G50" s="8" t="s">
        <v>197</v>
      </c>
      <c r="H50" s="1">
        <v>43908</v>
      </c>
      <c r="I50" s="14">
        <f t="shared" si="0"/>
        <v>1.1464716347104172E-2</v>
      </c>
      <c r="J50" s="14">
        <f t="shared" si="1"/>
        <v>0.98379126309547338</v>
      </c>
      <c r="K50" s="17">
        <f t="shared" si="2"/>
        <v>5.1132671037723357E-3</v>
      </c>
      <c r="L50" s="8" t="str" cm="1">
        <f t="array" ref="L50">_xlfn.IFS(I50&gt;5%,"High Risk",AND(I50&gt;2%,I50&lt;5%),"Modrate Risk",I50&lt;2%, "Low Risk")</f>
        <v>Low Risk</v>
      </c>
      <c r="N50"/>
      <c r="O50"/>
      <c r="P50"/>
      <c r="Q50"/>
      <c r="R50"/>
      <c r="S50"/>
      <c r="T50"/>
      <c r="U50"/>
      <c r="V50"/>
      <c r="W50"/>
      <c r="X50"/>
      <c r="Y50"/>
      <c r="Z50"/>
      <c r="AA50"/>
      <c r="AB50"/>
      <c r="AC50"/>
      <c r="AD50"/>
      <c r="AE50"/>
      <c r="AF50"/>
      <c r="AG50"/>
      <c r="AH50"/>
      <c r="AI50"/>
      <c r="AJ50"/>
      <c r="AK50"/>
      <c r="AL50"/>
      <c r="AM50"/>
      <c r="AN50"/>
      <c r="AO50"/>
      <c r="AP50"/>
      <c r="AQ50"/>
      <c r="AR50"/>
      <c r="AS50"/>
      <c r="AT50"/>
      <c r="AU50"/>
      <c r="AV50"/>
      <c r="AW50"/>
      <c r="AX50"/>
      <c r="AY50"/>
      <c r="AZ50"/>
      <c r="BA50"/>
      <c r="BB50"/>
      <c r="BC50"/>
      <c r="BD50"/>
      <c r="BE50"/>
      <c r="BF50"/>
      <c r="BG50"/>
      <c r="BH50"/>
      <c r="BI50"/>
      <c r="BJ50"/>
      <c r="BK50"/>
      <c r="BL50"/>
      <c r="BM50"/>
      <c r="BN50"/>
      <c r="BO50"/>
      <c r="BP50"/>
      <c r="BQ50"/>
      <c r="BR50"/>
      <c r="BS50"/>
      <c r="BT50"/>
      <c r="BU50"/>
      <c r="BV50"/>
      <c r="BW50"/>
      <c r="BX50"/>
      <c r="BY50"/>
      <c r="BZ50"/>
      <c r="CA50"/>
      <c r="CB50"/>
      <c r="CC50"/>
      <c r="CD50"/>
      <c r="CE50"/>
      <c r="CF50"/>
      <c r="CG50"/>
      <c r="CH50"/>
      <c r="CI50"/>
      <c r="CJ50"/>
      <c r="CK50"/>
      <c r="CL50"/>
      <c r="CM50"/>
      <c r="CN50"/>
      <c r="CO50"/>
      <c r="CP50"/>
      <c r="CQ50"/>
      <c r="CR50"/>
      <c r="CS50"/>
      <c r="CT50"/>
      <c r="CU50"/>
      <c r="CV50"/>
      <c r="CW50"/>
      <c r="CX50"/>
      <c r="CY50"/>
      <c r="CZ50"/>
      <c r="DA50"/>
      <c r="DB50"/>
      <c r="DC50"/>
      <c r="DD50"/>
      <c r="DE50"/>
      <c r="DF50"/>
      <c r="DG50"/>
      <c r="DH50"/>
      <c r="DI50"/>
      <c r="DJ50"/>
      <c r="DK50"/>
      <c r="DL50"/>
      <c r="DM50"/>
      <c r="DN50"/>
      <c r="DO50"/>
      <c r="DP50"/>
      <c r="DQ50"/>
      <c r="DR50"/>
      <c r="DS50"/>
      <c r="DT50"/>
      <c r="DU50"/>
      <c r="DV50"/>
      <c r="DW50"/>
      <c r="DX50"/>
      <c r="DY50"/>
      <c r="DZ50"/>
      <c r="EA50"/>
      <c r="EB50"/>
      <c r="EC50"/>
      <c r="ED50"/>
      <c r="EE50"/>
      <c r="EF50"/>
      <c r="EG50"/>
      <c r="EH50"/>
      <c r="EI50"/>
      <c r="EJ50"/>
      <c r="EK50"/>
      <c r="EL50"/>
      <c r="EM50"/>
      <c r="EN50"/>
      <c r="EO50"/>
      <c r="EP50"/>
      <c r="EQ50"/>
      <c r="ER50"/>
      <c r="ES50"/>
      <c r="ET50"/>
      <c r="EU50"/>
      <c r="EV50"/>
      <c r="EW50"/>
      <c r="EX50"/>
      <c r="EY50"/>
      <c r="EZ50"/>
      <c r="FA50"/>
      <c r="FB50"/>
      <c r="FC50"/>
      <c r="FD50"/>
      <c r="FE50"/>
      <c r="FF50"/>
      <c r="FG50"/>
      <c r="FH50"/>
      <c r="FI50"/>
      <c r="FJ50"/>
      <c r="FK50"/>
      <c r="FL50"/>
      <c r="FM50"/>
      <c r="FN50"/>
      <c r="FO50"/>
      <c r="FP50"/>
      <c r="FQ50"/>
      <c r="FR50"/>
      <c r="FS50"/>
      <c r="FT50"/>
      <c r="FU50"/>
      <c r="FV50"/>
      <c r="FW50"/>
      <c r="FX50"/>
      <c r="FY50"/>
      <c r="FZ50"/>
      <c r="GA50"/>
      <c r="GB50"/>
      <c r="GC50"/>
      <c r="GD50"/>
      <c r="GE50"/>
      <c r="GF50"/>
      <c r="GG50"/>
      <c r="GH50"/>
      <c r="GI50"/>
      <c r="GJ50"/>
      <c r="GK50"/>
    </row>
    <row r="51" spans="1:193" ht="18" hidden="1" customHeight="1" x14ac:dyDescent="0.25">
      <c r="A51" s="9" t="s">
        <v>53</v>
      </c>
      <c r="B51" s="9">
        <v>18</v>
      </c>
      <c r="C51" s="9">
        <v>0</v>
      </c>
      <c r="D51" s="9">
        <v>18</v>
      </c>
      <c r="E51" s="9">
        <v>0</v>
      </c>
      <c r="F51" s="9">
        <v>72004</v>
      </c>
      <c r="G51" s="9" t="s">
        <v>198</v>
      </c>
      <c r="H51" s="10">
        <v>43912</v>
      </c>
      <c r="I51" s="15">
        <f t="shared" si="0"/>
        <v>0</v>
      </c>
      <c r="J51" s="15">
        <f t="shared" si="1"/>
        <v>1</v>
      </c>
      <c r="K51" s="18">
        <f t="shared" si="2"/>
        <v>2.4998611188267316E-4</v>
      </c>
      <c r="L51" s="9" t="str" cm="1">
        <f t="array" ref="L51">_xlfn.IFS(I51&gt;5%,"High Risk",AND(I51&gt;2%,I51&lt;5%),"Modrate Risk",I51&lt;2%, "Low Risk")</f>
        <v>Low Risk</v>
      </c>
      <c r="N51"/>
      <c r="O51"/>
      <c r="P51"/>
      <c r="Q51"/>
      <c r="R51"/>
      <c r="S51"/>
      <c r="T51"/>
      <c r="U51"/>
      <c r="V51"/>
      <c r="W51"/>
      <c r="X51"/>
      <c r="Y51"/>
      <c r="Z51"/>
      <c r="AA51"/>
      <c r="AB51"/>
      <c r="AC51"/>
      <c r="AD51"/>
      <c r="AE51"/>
      <c r="AF51"/>
      <c r="AG51"/>
      <c r="AH51"/>
      <c r="AI51"/>
      <c r="AJ51"/>
      <c r="AK51"/>
      <c r="AL51"/>
      <c r="AM51"/>
      <c r="AN51"/>
      <c r="AO51"/>
      <c r="AP51"/>
      <c r="AQ51"/>
      <c r="AR51"/>
      <c r="AS51"/>
      <c r="AT51"/>
      <c r="AU51"/>
      <c r="AV51"/>
      <c r="AW51"/>
      <c r="AX51"/>
      <c r="AY51"/>
      <c r="AZ51"/>
      <c r="BA51"/>
      <c r="BB51"/>
      <c r="BC51"/>
      <c r="BD51"/>
      <c r="BE51"/>
      <c r="BF51"/>
      <c r="BG51"/>
      <c r="BH51"/>
      <c r="BI51"/>
      <c r="BJ51"/>
      <c r="BK51"/>
      <c r="BL51"/>
      <c r="BM51"/>
      <c r="BN51"/>
      <c r="BO51"/>
      <c r="BP51"/>
      <c r="BQ51"/>
      <c r="BR51"/>
      <c r="BS51"/>
      <c r="BT51"/>
      <c r="BU51"/>
      <c r="BV51"/>
      <c r="BW51"/>
      <c r="BX51"/>
      <c r="BY51"/>
      <c r="BZ51"/>
      <c r="CA51"/>
      <c r="CB51"/>
      <c r="CC51"/>
      <c r="CD51"/>
      <c r="CE51"/>
      <c r="CF51"/>
      <c r="CG51"/>
      <c r="CH51"/>
      <c r="CI51"/>
      <c r="CJ51"/>
      <c r="CK51"/>
      <c r="CL51"/>
      <c r="CM51"/>
      <c r="CN51"/>
      <c r="CO51"/>
      <c r="CP51"/>
      <c r="CQ51"/>
      <c r="CR51"/>
      <c r="CS51"/>
      <c r="CT51"/>
      <c r="CU51"/>
      <c r="CV51"/>
      <c r="CW51"/>
      <c r="CX51"/>
      <c r="CY51"/>
      <c r="CZ51"/>
      <c r="DA51"/>
      <c r="DB51"/>
      <c r="DC51"/>
      <c r="DD51"/>
      <c r="DE51"/>
      <c r="DF51"/>
      <c r="DG51"/>
      <c r="DH51"/>
      <c r="DI51"/>
      <c r="DJ51"/>
      <c r="DK51"/>
      <c r="DL51"/>
      <c r="DM51"/>
      <c r="DN51"/>
      <c r="DO51"/>
      <c r="DP51"/>
      <c r="DQ51"/>
      <c r="DR51"/>
      <c r="DS51"/>
      <c r="DT51"/>
      <c r="DU51"/>
      <c r="DV51"/>
      <c r="DW51"/>
      <c r="DX51"/>
      <c r="DY51"/>
      <c r="DZ51"/>
      <c r="EA51"/>
      <c r="EB51"/>
      <c r="EC51"/>
      <c r="ED51"/>
      <c r="EE51"/>
      <c r="EF51"/>
      <c r="EG51"/>
      <c r="EH51"/>
      <c r="EI51"/>
      <c r="EJ51"/>
      <c r="EK51"/>
      <c r="EL51"/>
      <c r="EM51"/>
      <c r="EN51"/>
      <c r="EO51"/>
      <c r="EP51"/>
      <c r="EQ51"/>
      <c r="ER51"/>
      <c r="ES51"/>
      <c r="ET51"/>
      <c r="EU51"/>
      <c r="EV51"/>
      <c r="EW51"/>
      <c r="EX51"/>
      <c r="EY51"/>
      <c r="EZ51"/>
      <c r="FA51"/>
      <c r="FB51"/>
      <c r="FC51"/>
      <c r="FD51"/>
      <c r="FE51"/>
      <c r="FF51"/>
      <c r="FG51"/>
      <c r="FH51"/>
      <c r="FI51"/>
      <c r="FJ51"/>
      <c r="FK51"/>
      <c r="FL51"/>
      <c r="FM51"/>
      <c r="FN51"/>
      <c r="FO51"/>
      <c r="FP51"/>
      <c r="FQ51"/>
      <c r="FR51"/>
      <c r="FS51"/>
      <c r="FT51"/>
      <c r="FU51"/>
      <c r="FV51"/>
      <c r="FW51"/>
      <c r="FX51"/>
      <c r="FY51"/>
      <c r="FZ51"/>
      <c r="GA51"/>
      <c r="GB51"/>
      <c r="GC51"/>
      <c r="GD51"/>
      <c r="GE51"/>
      <c r="GF51"/>
      <c r="GG51"/>
      <c r="GH51"/>
      <c r="GI51"/>
      <c r="GJ51"/>
      <c r="GK51"/>
    </row>
    <row r="52" spans="1:193" ht="18" hidden="1" customHeight="1" x14ac:dyDescent="0.25">
      <c r="A52" s="8" t="s">
        <v>54</v>
      </c>
      <c r="B52" s="8">
        <v>64156</v>
      </c>
      <c r="C52" s="8">
        <v>1083</v>
      </c>
      <c r="D52" s="8">
        <v>30204</v>
      </c>
      <c r="E52" s="8">
        <v>32869</v>
      </c>
      <c r="F52" s="8">
        <v>10858648</v>
      </c>
      <c r="G52" s="8" t="s">
        <v>198</v>
      </c>
      <c r="H52" s="1">
        <v>43891</v>
      </c>
      <c r="I52" s="14">
        <f t="shared" si="0"/>
        <v>1.688072822495168E-2</v>
      </c>
      <c r="J52" s="14">
        <f t="shared" si="1"/>
        <v>0.47078994949809838</v>
      </c>
      <c r="K52" s="17">
        <f t="shared" si="2"/>
        <v>5.9082861881147638E-3</v>
      </c>
      <c r="L52" s="8" t="str" cm="1">
        <f t="array" ref="L52">_xlfn.IFS(I52&gt;5%,"High Risk",AND(I52&gt;2%,I52&lt;5%),"Modrate Risk",I52&lt;2%, "Low Risk")</f>
        <v>Low Risk</v>
      </c>
      <c r="N52"/>
      <c r="O52"/>
      <c r="P52"/>
      <c r="Q52"/>
      <c r="R52"/>
      <c r="S52"/>
      <c r="T52"/>
      <c r="U52"/>
      <c r="V52"/>
      <c r="W52"/>
      <c r="X52"/>
      <c r="Y52"/>
      <c r="Z52"/>
      <c r="AA52"/>
      <c r="AB52"/>
      <c r="AC52"/>
      <c r="AD52"/>
      <c r="AE52"/>
      <c r="AF52"/>
      <c r="AG52"/>
      <c r="AH52"/>
      <c r="AI52"/>
      <c r="AJ52"/>
      <c r="AK52"/>
      <c r="AL52"/>
      <c r="AM52"/>
      <c r="AN52"/>
      <c r="AO52"/>
      <c r="AP52"/>
      <c r="AQ52"/>
      <c r="AR52"/>
      <c r="AS52"/>
      <c r="AT52"/>
      <c r="AU52"/>
      <c r="AV52"/>
      <c r="AW52"/>
      <c r="AX52"/>
      <c r="AY52"/>
      <c r="AZ52"/>
      <c r="BA52"/>
      <c r="BB52"/>
      <c r="BC52"/>
      <c r="BD52"/>
      <c r="BE52"/>
      <c r="BF52"/>
      <c r="BG52"/>
      <c r="BH52"/>
      <c r="BI52"/>
      <c r="BJ52"/>
      <c r="BK52"/>
      <c r="BL52"/>
      <c r="BM52"/>
      <c r="BN52"/>
      <c r="BO52"/>
      <c r="BP52"/>
      <c r="BQ52"/>
      <c r="BR52"/>
      <c r="BS52"/>
      <c r="BT52"/>
      <c r="BU52"/>
      <c r="BV52"/>
      <c r="BW52"/>
      <c r="BX52"/>
      <c r="BY52"/>
      <c r="BZ52"/>
      <c r="CA52"/>
      <c r="CB52"/>
      <c r="CC52"/>
      <c r="CD52"/>
      <c r="CE52"/>
      <c r="CF52"/>
      <c r="CG52"/>
      <c r="CH52"/>
      <c r="CI52"/>
      <c r="CJ52"/>
      <c r="CK52"/>
      <c r="CL52"/>
      <c r="CM52"/>
      <c r="CN52"/>
      <c r="CO52"/>
      <c r="CP52"/>
      <c r="CQ52"/>
      <c r="CR52"/>
      <c r="CS52"/>
      <c r="CT52"/>
      <c r="CU52"/>
      <c r="CV52"/>
      <c r="CW52"/>
      <c r="CX52"/>
      <c r="CY52"/>
      <c r="CZ52"/>
      <c r="DA52"/>
      <c r="DB52"/>
      <c r="DC52"/>
      <c r="DD52"/>
      <c r="DE52"/>
      <c r="DF52"/>
      <c r="DG52"/>
      <c r="DH52"/>
      <c r="DI52"/>
      <c r="DJ52"/>
      <c r="DK52"/>
      <c r="DL52"/>
      <c r="DM52"/>
      <c r="DN52"/>
      <c r="DO52"/>
      <c r="DP52"/>
      <c r="DQ52"/>
      <c r="DR52"/>
      <c r="DS52"/>
      <c r="DT52"/>
      <c r="DU52"/>
      <c r="DV52"/>
      <c r="DW52"/>
      <c r="DX52"/>
      <c r="DY52"/>
      <c r="DZ52"/>
      <c r="EA52"/>
      <c r="EB52"/>
      <c r="EC52"/>
      <c r="ED52"/>
      <c r="EE52"/>
      <c r="EF52"/>
      <c r="EG52"/>
      <c r="EH52"/>
      <c r="EI52"/>
      <c r="EJ52"/>
      <c r="EK52"/>
      <c r="EL52"/>
      <c r="EM52"/>
      <c r="EN52"/>
      <c r="EO52"/>
      <c r="EP52"/>
      <c r="EQ52"/>
      <c r="ER52"/>
      <c r="ES52"/>
      <c r="ET52"/>
      <c r="EU52"/>
      <c r="EV52"/>
      <c r="EW52"/>
      <c r="EX52"/>
      <c r="EY52"/>
      <c r="EZ52"/>
      <c r="FA52"/>
      <c r="FB52"/>
      <c r="FC52"/>
      <c r="FD52"/>
      <c r="FE52"/>
      <c r="FF52"/>
      <c r="FG52"/>
      <c r="FH52"/>
      <c r="FI52"/>
      <c r="FJ52"/>
      <c r="FK52"/>
      <c r="FL52"/>
      <c r="FM52"/>
      <c r="FN52"/>
      <c r="FO52"/>
      <c r="FP52"/>
      <c r="FQ52"/>
      <c r="FR52"/>
      <c r="FS52"/>
      <c r="FT52"/>
      <c r="FU52"/>
      <c r="FV52"/>
      <c r="FW52"/>
      <c r="FX52"/>
      <c r="FY52"/>
      <c r="FZ52"/>
      <c r="GA52"/>
      <c r="GB52"/>
      <c r="GC52"/>
      <c r="GD52"/>
      <c r="GE52"/>
      <c r="GF52"/>
      <c r="GG52"/>
      <c r="GH52"/>
      <c r="GI52"/>
      <c r="GJ52"/>
      <c r="GK52"/>
    </row>
    <row r="53" spans="1:193" ht="18" hidden="1" customHeight="1" x14ac:dyDescent="0.25">
      <c r="A53" s="9" t="s">
        <v>55</v>
      </c>
      <c r="B53" s="9">
        <v>81161</v>
      </c>
      <c r="C53" s="9">
        <v>5532</v>
      </c>
      <c r="D53" s="9">
        <v>34896</v>
      </c>
      <c r="E53" s="9">
        <v>40733</v>
      </c>
      <c r="F53" s="9">
        <v>17668824</v>
      </c>
      <c r="G53" s="9" t="s">
        <v>199</v>
      </c>
      <c r="H53" s="10">
        <v>43890</v>
      </c>
      <c r="I53" s="15">
        <f t="shared" si="0"/>
        <v>6.8160816155542689E-2</v>
      </c>
      <c r="J53" s="15">
        <f t="shared" si="1"/>
        <v>0.42996020256034301</v>
      </c>
      <c r="K53" s="18">
        <f t="shared" si="2"/>
        <v>4.5934579460410038E-3</v>
      </c>
      <c r="L53" s="9" t="str" cm="1">
        <f t="array" ref="L53">_xlfn.IFS(I53&gt;5%,"High Risk",AND(I53&gt;2%,I53&lt;5%),"Modrate Risk",I53&lt;2%, "Low Risk")</f>
        <v>High Risk</v>
      </c>
      <c r="N53"/>
      <c r="O53"/>
      <c r="P53"/>
      <c r="Q53"/>
      <c r="R53"/>
      <c r="S53"/>
      <c r="T53"/>
      <c r="U53"/>
      <c r="V53"/>
      <c r="W53"/>
      <c r="X53"/>
      <c r="Y53"/>
      <c r="Z53"/>
      <c r="AA53"/>
      <c r="AB53"/>
      <c r="AC53"/>
      <c r="AD53"/>
      <c r="AE53"/>
      <c r="AF53"/>
      <c r="AG53"/>
      <c r="AH53"/>
      <c r="AI53"/>
      <c r="AJ53"/>
      <c r="AK53"/>
      <c r="AL53"/>
      <c r="AM53"/>
      <c r="AN53"/>
      <c r="AO53"/>
      <c r="AP53"/>
      <c r="AQ53"/>
      <c r="AR53"/>
      <c r="AS53"/>
      <c r="AT53"/>
      <c r="AU53"/>
      <c r="AV53"/>
      <c r="AW53"/>
      <c r="AX53"/>
      <c r="AY53"/>
      <c r="AZ53"/>
      <c r="BA53"/>
      <c r="BB53"/>
      <c r="BC53"/>
      <c r="BD53"/>
      <c r="BE53"/>
      <c r="BF53"/>
      <c r="BG53"/>
      <c r="BH53"/>
      <c r="BI53"/>
      <c r="BJ53"/>
      <c r="BK53"/>
      <c r="BL53"/>
      <c r="BM53"/>
      <c r="BN53"/>
      <c r="BO53"/>
      <c r="BP53"/>
      <c r="BQ53"/>
      <c r="BR53"/>
      <c r="BS53"/>
      <c r="BT53"/>
      <c r="BU53"/>
      <c r="BV53"/>
      <c r="BW53"/>
      <c r="BX53"/>
      <c r="BY53"/>
      <c r="BZ53"/>
      <c r="CA53"/>
      <c r="CB53"/>
      <c r="CC53"/>
      <c r="CD53"/>
      <c r="CE53"/>
      <c r="CF53"/>
      <c r="CG53"/>
      <c r="CH53"/>
      <c r="CI53"/>
      <c r="CJ53"/>
      <c r="CK53"/>
      <c r="CL53"/>
      <c r="CM53"/>
      <c r="CN53"/>
      <c r="CO53"/>
      <c r="CP53"/>
      <c r="CQ53"/>
      <c r="CR53"/>
      <c r="CS53"/>
      <c r="CT53"/>
      <c r="CU53"/>
      <c r="CV53"/>
      <c r="CW53"/>
      <c r="CX53"/>
      <c r="CY53"/>
      <c r="CZ53"/>
      <c r="DA53"/>
      <c r="DB53"/>
      <c r="DC53"/>
      <c r="DD53"/>
      <c r="DE53"/>
      <c r="DF53"/>
      <c r="DG53"/>
      <c r="DH53"/>
      <c r="DI53"/>
      <c r="DJ53"/>
      <c r="DK53"/>
      <c r="DL53"/>
      <c r="DM53"/>
      <c r="DN53"/>
      <c r="DO53"/>
      <c r="DP53"/>
      <c r="DQ53"/>
      <c r="DR53"/>
      <c r="DS53"/>
      <c r="DT53"/>
      <c r="DU53"/>
      <c r="DV53"/>
      <c r="DW53"/>
      <c r="DX53"/>
      <c r="DY53"/>
      <c r="DZ53"/>
      <c r="EA53"/>
      <c r="EB53"/>
      <c r="EC53"/>
      <c r="ED53"/>
      <c r="EE53"/>
      <c r="EF53"/>
      <c r="EG53"/>
      <c r="EH53"/>
      <c r="EI53"/>
      <c r="EJ53"/>
      <c r="EK53"/>
      <c r="EL53"/>
      <c r="EM53"/>
      <c r="EN53"/>
      <c r="EO53"/>
      <c r="EP53"/>
      <c r="EQ53"/>
      <c r="ER53"/>
      <c r="ES53"/>
      <c r="ET53"/>
      <c r="EU53"/>
      <c r="EV53"/>
      <c r="EW53"/>
      <c r="EX53"/>
      <c r="EY53"/>
      <c r="EZ53"/>
      <c r="FA53"/>
      <c r="FB53"/>
      <c r="FC53"/>
      <c r="FD53"/>
      <c r="FE53"/>
      <c r="FF53"/>
      <c r="FG53"/>
      <c r="FH53"/>
      <c r="FI53"/>
      <c r="FJ53"/>
      <c r="FK53"/>
      <c r="FL53"/>
      <c r="FM53"/>
      <c r="FN53"/>
      <c r="FO53"/>
      <c r="FP53"/>
      <c r="FQ53"/>
      <c r="FR53"/>
      <c r="FS53"/>
      <c r="FT53"/>
      <c r="FU53"/>
      <c r="FV53"/>
      <c r="FW53"/>
      <c r="FX53"/>
      <c r="FY53"/>
      <c r="FZ53"/>
      <c r="GA53"/>
      <c r="GB53"/>
      <c r="GC53"/>
      <c r="GD53"/>
      <c r="GE53"/>
      <c r="GF53"/>
      <c r="GG53"/>
      <c r="GH53"/>
      <c r="GI53"/>
      <c r="GJ53"/>
      <c r="GK53"/>
    </row>
    <row r="54" spans="1:193" ht="18" hidden="1" customHeight="1" x14ac:dyDescent="0.25">
      <c r="A54" s="8" t="s">
        <v>56</v>
      </c>
      <c r="B54" s="8">
        <v>92482</v>
      </c>
      <c r="C54" s="8">
        <v>4652</v>
      </c>
      <c r="D54" s="8">
        <v>34838</v>
      </c>
      <c r="E54" s="8">
        <v>52992</v>
      </c>
      <c r="F54" s="8">
        <v>102516525</v>
      </c>
      <c r="G54" s="8" t="s">
        <v>197</v>
      </c>
      <c r="H54" s="1">
        <v>43875</v>
      </c>
      <c r="I54" s="14">
        <f t="shared" si="0"/>
        <v>5.0301680326982547E-2</v>
      </c>
      <c r="J54" s="14">
        <f t="shared" si="1"/>
        <v>0.37670033087519733</v>
      </c>
      <c r="K54" s="17">
        <f t="shared" si="2"/>
        <v>9.0211797561417541E-4</v>
      </c>
      <c r="L54" s="8" t="str" cm="1">
        <f t="array" ref="L54">_xlfn.IFS(I54&gt;5%,"High Risk",AND(I54&gt;2%,I54&lt;5%),"Modrate Risk",I54&lt;2%, "Low Risk")</f>
        <v>High Risk</v>
      </c>
      <c r="N54"/>
      <c r="O54"/>
      <c r="P54"/>
      <c r="Q54"/>
      <c r="R54"/>
      <c r="S54"/>
      <c r="T54"/>
      <c r="U54"/>
      <c r="V54"/>
      <c r="W54"/>
      <c r="X54"/>
      <c r="Y54"/>
      <c r="Z54"/>
      <c r="AA54"/>
      <c r="AB54"/>
      <c r="AC54"/>
      <c r="AD54"/>
      <c r="AE54"/>
      <c r="AF54"/>
      <c r="AG54"/>
      <c r="AH54"/>
      <c r="AI54"/>
      <c r="AJ54"/>
      <c r="AK54"/>
      <c r="AL54"/>
      <c r="AM54"/>
      <c r="AN54"/>
      <c r="AO54"/>
      <c r="AP54"/>
      <c r="AQ54"/>
      <c r="AR54"/>
      <c r="AS54"/>
      <c r="AT54"/>
      <c r="AU54"/>
      <c r="AV54"/>
      <c r="AW54"/>
      <c r="AX54"/>
      <c r="AY54"/>
      <c r="AZ54"/>
      <c r="BA54"/>
      <c r="BB54"/>
      <c r="BC54"/>
      <c r="BD54"/>
      <c r="BE54"/>
      <c r="BF54"/>
      <c r="BG54"/>
      <c r="BH54"/>
      <c r="BI54"/>
      <c r="BJ54"/>
      <c r="BK54"/>
      <c r="BL54"/>
      <c r="BM54"/>
      <c r="BN54"/>
      <c r="BO54"/>
      <c r="BP54"/>
      <c r="BQ54"/>
      <c r="BR54"/>
      <c r="BS54"/>
      <c r="BT54"/>
      <c r="BU54"/>
      <c r="BV54"/>
      <c r="BW54"/>
      <c r="BX54"/>
      <c r="BY54"/>
      <c r="BZ54"/>
      <c r="CA54"/>
      <c r="CB54"/>
      <c r="CC54"/>
      <c r="CD54"/>
      <c r="CE54"/>
      <c r="CF54"/>
      <c r="CG54"/>
      <c r="CH54"/>
      <c r="CI54"/>
      <c r="CJ54"/>
      <c r="CK54"/>
      <c r="CL54"/>
      <c r="CM54"/>
      <c r="CN54"/>
      <c r="CO54"/>
      <c r="CP54"/>
      <c r="CQ54"/>
      <c r="CR54"/>
      <c r="CS54"/>
      <c r="CT54"/>
      <c r="CU54"/>
      <c r="CV54"/>
      <c r="CW54"/>
      <c r="CX54"/>
      <c r="CY54"/>
      <c r="CZ54"/>
      <c r="DA54"/>
      <c r="DB54"/>
      <c r="DC54"/>
      <c r="DD54"/>
      <c r="DE54"/>
      <c r="DF54"/>
      <c r="DG54"/>
      <c r="DH54"/>
      <c r="DI54"/>
      <c r="DJ54"/>
      <c r="DK54"/>
      <c r="DL54"/>
      <c r="DM54"/>
      <c r="DN54"/>
      <c r="DO54"/>
      <c r="DP54"/>
      <c r="DQ54"/>
      <c r="DR54"/>
      <c r="DS54"/>
      <c r="DT54"/>
      <c r="DU54"/>
      <c r="DV54"/>
      <c r="DW54"/>
      <c r="DX54"/>
      <c r="DY54"/>
      <c r="DZ54"/>
      <c r="EA54"/>
      <c r="EB54"/>
      <c r="EC54"/>
      <c r="ED54"/>
      <c r="EE54"/>
      <c r="EF54"/>
      <c r="EG54"/>
      <c r="EH54"/>
      <c r="EI54"/>
      <c r="EJ54"/>
      <c r="EK54"/>
      <c r="EL54"/>
      <c r="EM54"/>
      <c r="EN54"/>
      <c r="EO54"/>
      <c r="EP54"/>
      <c r="EQ54"/>
      <c r="ER54"/>
      <c r="ES54"/>
      <c r="ET54"/>
      <c r="EU54"/>
      <c r="EV54"/>
      <c r="EW54"/>
      <c r="EX54"/>
      <c r="EY54"/>
      <c r="EZ54"/>
      <c r="FA54"/>
      <c r="FB54"/>
      <c r="FC54"/>
      <c r="FD54"/>
      <c r="FE54"/>
      <c r="FF54"/>
      <c r="FG54"/>
      <c r="FH54"/>
      <c r="FI54"/>
      <c r="FJ54"/>
      <c r="FK54"/>
      <c r="FL54"/>
      <c r="FM54"/>
      <c r="FN54"/>
      <c r="FO54"/>
      <c r="FP54"/>
      <c r="FQ54"/>
      <c r="FR54"/>
      <c r="FS54"/>
      <c r="FT54"/>
      <c r="FU54"/>
      <c r="FV54"/>
      <c r="FW54"/>
      <c r="FX54"/>
      <c r="FY54"/>
      <c r="FZ54"/>
      <c r="GA54"/>
      <c r="GB54"/>
      <c r="GC54"/>
      <c r="GD54"/>
      <c r="GE54"/>
      <c r="GF54"/>
      <c r="GG54"/>
      <c r="GH54"/>
      <c r="GI54"/>
      <c r="GJ54"/>
      <c r="GK54"/>
    </row>
    <row r="55" spans="1:193" ht="18" hidden="1" customHeight="1" x14ac:dyDescent="0.25">
      <c r="A55" s="9" t="s">
        <v>57</v>
      </c>
      <c r="B55" s="9">
        <v>15035</v>
      </c>
      <c r="C55" s="9">
        <v>408</v>
      </c>
      <c r="D55" s="9">
        <v>7778</v>
      </c>
      <c r="E55" s="9">
        <v>6849</v>
      </c>
      <c r="F55" s="9">
        <v>6489514</v>
      </c>
      <c r="G55" s="9" t="s">
        <v>198</v>
      </c>
      <c r="H55" s="10">
        <v>43909</v>
      </c>
      <c r="I55" s="15">
        <f t="shared" si="0"/>
        <v>2.7136681077485868E-2</v>
      </c>
      <c r="J55" s="15">
        <f t="shared" si="1"/>
        <v>0.51732623877618888</v>
      </c>
      <c r="K55" s="18">
        <f t="shared" si="2"/>
        <v>2.3168144794818227E-3</v>
      </c>
      <c r="L55" s="9" t="str" cm="1">
        <f t="array" ref="L55">_xlfn.IFS(I55&gt;5%,"High Risk",AND(I55&gt;2%,I55&lt;5%),"Modrate Risk",I55&lt;2%, "Low Risk")</f>
        <v>Modrate Risk</v>
      </c>
      <c r="N55"/>
      <c r="O55"/>
      <c r="P55"/>
      <c r="Q55"/>
      <c r="R55"/>
      <c r="S55"/>
      <c r="T55"/>
      <c r="U55"/>
      <c r="V55"/>
      <c r="W55"/>
      <c r="X55"/>
      <c r="Y55"/>
      <c r="Z55"/>
      <c r="AA55"/>
      <c r="AB55"/>
      <c r="AC55"/>
      <c r="AD55"/>
      <c r="AE55"/>
      <c r="AF55"/>
      <c r="AG55"/>
      <c r="AH55"/>
      <c r="AI55"/>
      <c r="AJ55"/>
      <c r="AK55"/>
      <c r="AL55"/>
      <c r="AM55"/>
      <c r="AN55"/>
      <c r="AO55"/>
      <c r="AP55"/>
      <c r="AQ55"/>
      <c r="AR55"/>
      <c r="AS55"/>
      <c r="AT55"/>
      <c r="AU55"/>
      <c r="AV55"/>
      <c r="AW55"/>
      <c r="AX55"/>
      <c r="AY55"/>
      <c r="AZ55"/>
      <c r="BA55"/>
      <c r="BB55"/>
      <c r="BC55"/>
      <c r="BD55"/>
      <c r="BE55"/>
      <c r="BF55"/>
      <c r="BG55"/>
      <c r="BH55"/>
      <c r="BI55"/>
      <c r="BJ55"/>
      <c r="BK55"/>
      <c r="BL55"/>
      <c r="BM55"/>
      <c r="BN55"/>
      <c r="BO55"/>
      <c r="BP55"/>
      <c r="BQ55"/>
      <c r="BR55"/>
      <c r="BS55"/>
      <c r="BT55"/>
      <c r="BU55"/>
      <c r="BV55"/>
      <c r="BW55"/>
      <c r="BX55"/>
      <c r="BY55"/>
      <c r="BZ55"/>
      <c r="CA55"/>
      <c r="CB55"/>
      <c r="CC55"/>
      <c r="CD55"/>
      <c r="CE55"/>
      <c r="CF55"/>
      <c r="CG55"/>
      <c r="CH55"/>
      <c r="CI55"/>
      <c r="CJ55"/>
      <c r="CK55"/>
      <c r="CL55"/>
      <c r="CM55"/>
      <c r="CN55"/>
      <c r="CO55"/>
      <c r="CP55"/>
      <c r="CQ55"/>
      <c r="CR55"/>
      <c r="CS55"/>
      <c r="CT55"/>
      <c r="CU55"/>
      <c r="CV55"/>
      <c r="CW55"/>
      <c r="CX55"/>
      <c r="CY55"/>
      <c r="CZ55"/>
      <c r="DA55"/>
      <c r="DB55"/>
      <c r="DC55"/>
      <c r="DD55"/>
      <c r="DE55"/>
      <c r="DF55"/>
      <c r="DG55"/>
      <c r="DH55"/>
      <c r="DI55"/>
      <c r="DJ55"/>
      <c r="DK55"/>
      <c r="DL55"/>
      <c r="DM55"/>
      <c r="DN55"/>
      <c r="DO55"/>
      <c r="DP55"/>
      <c r="DQ55"/>
      <c r="DR55"/>
      <c r="DS55"/>
      <c r="DT55"/>
      <c r="DU55"/>
      <c r="DV55"/>
      <c r="DW55"/>
      <c r="DX55"/>
      <c r="DY55"/>
      <c r="DZ55"/>
      <c r="EA55"/>
      <c r="EB55"/>
      <c r="EC55"/>
      <c r="ED55"/>
      <c r="EE55"/>
      <c r="EF55"/>
      <c r="EG55"/>
      <c r="EH55"/>
      <c r="EI55"/>
      <c r="EJ55"/>
      <c r="EK55"/>
      <c r="EL55"/>
      <c r="EM55"/>
      <c r="EN55"/>
      <c r="EO55"/>
      <c r="EP55"/>
      <c r="EQ55"/>
      <c r="ER55"/>
      <c r="ES55"/>
      <c r="ET55"/>
      <c r="EU55"/>
      <c r="EV55"/>
      <c r="EW55"/>
      <c r="EX55"/>
      <c r="EY55"/>
      <c r="EZ55"/>
      <c r="FA55"/>
      <c r="FB55"/>
      <c r="FC55"/>
      <c r="FD55"/>
      <c r="FE55"/>
      <c r="FF55"/>
      <c r="FG55"/>
      <c r="FH55"/>
      <c r="FI55"/>
      <c r="FJ55"/>
      <c r="FK55"/>
      <c r="FL55"/>
      <c r="FM55"/>
      <c r="FN55"/>
      <c r="FO55"/>
      <c r="FP55"/>
      <c r="FQ55"/>
      <c r="FR55"/>
      <c r="FS55"/>
      <c r="FT55"/>
      <c r="FU55"/>
      <c r="FV55"/>
      <c r="FW55"/>
      <c r="FX55"/>
      <c r="FY55"/>
      <c r="FZ55"/>
      <c r="GA55"/>
      <c r="GB55"/>
      <c r="GC55"/>
      <c r="GD55"/>
      <c r="GE55"/>
      <c r="GF55"/>
      <c r="GG55"/>
      <c r="GH55"/>
      <c r="GI55"/>
      <c r="GJ55"/>
      <c r="GK55"/>
    </row>
    <row r="56" spans="1:193" ht="18" hidden="1" customHeight="1" x14ac:dyDescent="0.25">
      <c r="A56" s="8" t="s">
        <v>58</v>
      </c>
      <c r="B56" s="8">
        <v>3071</v>
      </c>
      <c r="C56" s="8">
        <v>51</v>
      </c>
      <c r="D56" s="8">
        <v>842</v>
      </c>
      <c r="E56" s="8">
        <v>2178</v>
      </c>
      <c r="F56" s="8">
        <v>1407001</v>
      </c>
      <c r="G56" s="8" t="s">
        <v>197</v>
      </c>
      <c r="H56" s="1">
        <v>43904</v>
      </c>
      <c r="I56" s="14">
        <f t="shared" si="0"/>
        <v>1.6606968414197329E-2</v>
      </c>
      <c r="J56" s="14">
        <f t="shared" si="1"/>
        <v>0.27417779225008143</v>
      </c>
      <c r="K56" s="17">
        <f t="shared" si="2"/>
        <v>2.1826565865980196E-3</v>
      </c>
      <c r="L56" s="8" t="str" cm="1">
        <f t="array" ref="L56">_xlfn.IFS(I56&gt;5%,"High Risk",AND(I56&gt;2%,I56&lt;5%),"Modrate Risk",I56&lt;2%, "Low Risk")</f>
        <v>Low Risk</v>
      </c>
      <c r="N56"/>
      <c r="O56"/>
      <c r="P56"/>
      <c r="Q56"/>
      <c r="R56"/>
      <c r="S56"/>
      <c r="T56"/>
      <c r="U56"/>
      <c r="V56"/>
      <c r="W56"/>
      <c r="X56"/>
      <c r="Y56"/>
      <c r="Z56"/>
      <c r="AA56"/>
      <c r="AB56"/>
      <c r="AC56"/>
      <c r="AD56"/>
      <c r="AE56"/>
      <c r="AF56"/>
      <c r="AG56"/>
      <c r="AH56"/>
      <c r="AI56"/>
      <c r="AJ56"/>
      <c r="AK56"/>
      <c r="AL56"/>
      <c r="AM56"/>
      <c r="AN56"/>
      <c r="AO56"/>
      <c r="AP56"/>
      <c r="AQ56"/>
      <c r="AR56"/>
      <c r="AS56"/>
      <c r="AT56"/>
      <c r="AU56"/>
      <c r="AV56"/>
      <c r="AW56"/>
      <c r="AX56"/>
      <c r="AY56"/>
      <c r="AZ56"/>
      <c r="BA56"/>
      <c r="BB56"/>
      <c r="BC56"/>
      <c r="BD56"/>
      <c r="BE56"/>
      <c r="BF56"/>
      <c r="BG56"/>
      <c r="BH56"/>
      <c r="BI56"/>
      <c r="BJ56"/>
      <c r="BK56"/>
      <c r="BL56"/>
      <c r="BM56"/>
      <c r="BN56"/>
      <c r="BO56"/>
      <c r="BP56"/>
      <c r="BQ56"/>
      <c r="BR56"/>
      <c r="BS56"/>
      <c r="BT56"/>
      <c r="BU56"/>
      <c r="BV56"/>
      <c r="BW56"/>
      <c r="BX56"/>
      <c r="BY56"/>
      <c r="BZ56"/>
      <c r="CA56"/>
      <c r="CB56"/>
      <c r="CC56"/>
      <c r="CD56"/>
      <c r="CE56"/>
      <c r="CF56"/>
      <c r="CG56"/>
      <c r="CH56"/>
      <c r="CI56"/>
      <c r="CJ56"/>
      <c r="CK56"/>
      <c r="CL56"/>
      <c r="CM56"/>
      <c r="CN56"/>
      <c r="CO56"/>
      <c r="CP56"/>
      <c r="CQ56"/>
      <c r="CR56"/>
      <c r="CS56"/>
      <c r="CT56"/>
      <c r="CU56"/>
      <c r="CV56"/>
      <c r="CW56"/>
      <c r="CX56"/>
      <c r="CY56"/>
      <c r="CZ56"/>
      <c r="DA56"/>
      <c r="DB56"/>
      <c r="DC56"/>
      <c r="DD56"/>
      <c r="DE56"/>
      <c r="DF56"/>
      <c r="DG56"/>
      <c r="DH56"/>
      <c r="DI56"/>
      <c r="DJ56"/>
      <c r="DK56"/>
      <c r="DL56"/>
      <c r="DM56"/>
      <c r="DN56"/>
      <c r="DO56"/>
      <c r="DP56"/>
      <c r="DQ56"/>
      <c r="DR56"/>
      <c r="DS56"/>
      <c r="DT56"/>
      <c r="DU56"/>
      <c r="DV56"/>
      <c r="DW56"/>
      <c r="DX56"/>
      <c r="DY56"/>
      <c r="DZ56"/>
      <c r="EA56"/>
      <c r="EB56"/>
      <c r="EC56"/>
      <c r="ED56"/>
      <c r="EE56"/>
      <c r="EF56"/>
      <c r="EG56"/>
      <c r="EH56"/>
      <c r="EI56"/>
      <c r="EJ56"/>
      <c r="EK56"/>
      <c r="EL56"/>
      <c r="EM56"/>
      <c r="EN56"/>
      <c r="EO56"/>
      <c r="EP56"/>
      <c r="EQ56"/>
      <c r="ER56"/>
      <c r="ES56"/>
      <c r="ET56"/>
      <c r="EU56"/>
      <c r="EV56"/>
      <c r="EW56"/>
      <c r="EX56"/>
      <c r="EY56"/>
      <c r="EZ56"/>
      <c r="FA56"/>
      <c r="FB56"/>
      <c r="FC56"/>
      <c r="FD56"/>
      <c r="FE56"/>
      <c r="FF56"/>
      <c r="FG56"/>
      <c r="FH56"/>
      <c r="FI56"/>
      <c r="FJ56"/>
      <c r="FK56"/>
      <c r="FL56"/>
      <c r="FM56"/>
      <c r="FN56"/>
      <c r="FO56"/>
      <c r="FP56"/>
      <c r="FQ56"/>
      <c r="FR56"/>
      <c r="FS56"/>
      <c r="FT56"/>
      <c r="FU56"/>
      <c r="FV56"/>
      <c r="FW56"/>
      <c r="FX56"/>
      <c r="FY56"/>
      <c r="FZ56"/>
      <c r="GA56"/>
      <c r="GB56"/>
      <c r="GC56"/>
      <c r="GD56"/>
      <c r="GE56"/>
      <c r="GF56"/>
      <c r="GG56"/>
      <c r="GH56"/>
      <c r="GI56"/>
      <c r="GJ56"/>
      <c r="GK56"/>
    </row>
    <row r="57" spans="1:193" ht="18" hidden="1" customHeight="1" x14ac:dyDescent="0.25">
      <c r="A57" s="9" t="s">
        <v>59</v>
      </c>
      <c r="B57" s="9">
        <v>265</v>
      </c>
      <c r="C57" s="9">
        <v>0</v>
      </c>
      <c r="D57" s="9">
        <v>191</v>
      </c>
      <c r="E57" s="9">
        <v>74</v>
      </c>
      <c r="F57" s="9">
        <v>3551175</v>
      </c>
      <c r="G57" s="9" t="s">
        <v>197</v>
      </c>
      <c r="H57" s="10">
        <v>43911</v>
      </c>
      <c r="I57" s="15">
        <f t="shared" si="0"/>
        <v>0</v>
      </c>
      <c r="J57" s="15">
        <f t="shared" si="1"/>
        <v>0.72075471698113203</v>
      </c>
      <c r="K57" s="18">
        <f t="shared" si="2"/>
        <v>7.4623188099713479E-5</v>
      </c>
      <c r="L57" s="9" t="str" cm="1">
        <f t="array" ref="L57">_xlfn.IFS(I57&gt;5%,"High Risk",AND(I57&gt;2%,I57&lt;5%),"Modrate Risk",I57&lt;2%, "Low Risk")</f>
        <v>Low Risk</v>
      </c>
      <c r="N57"/>
      <c r="O57"/>
      <c r="P57"/>
      <c r="Q57"/>
      <c r="R57"/>
      <c r="S57"/>
      <c r="T57"/>
      <c r="U57"/>
      <c r="V57"/>
      <c r="W57"/>
      <c r="X57"/>
      <c r="Y57"/>
      <c r="Z57"/>
      <c r="AA57"/>
      <c r="AB57"/>
      <c r="AC57"/>
      <c r="AD57"/>
      <c r="AE57"/>
      <c r="AF57"/>
      <c r="AG57"/>
      <c r="AH57"/>
      <c r="AI57"/>
      <c r="AJ57"/>
      <c r="AK57"/>
      <c r="AL57"/>
      <c r="AM57"/>
      <c r="AN57"/>
      <c r="AO57"/>
      <c r="AP57"/>
      <c r="AQ57"/>
      <c r="AR57"/>
      <c r="AS57"/>
      <c r="AT57"/>
      <c r="AU57"/>
      <c r="AV57"/>
      <c r="AW57"/>
      <c r="AX57"/>
      <c r="AY57"/>
      <c r="AZ57"/>
      <c r="BA57"/>
      <c r="BB57"/>
      <c r="BC57"/>
      <c r="BD57"/>
      <c r="BE57"/>
      <c r="BF57"/>
      <c r="BG57"/>
      <c r="BH57"/>
      <c r="BI57"/>
      <c r="BJ57"/>
      <c r="BK57"/>
      <c r="BL57"/>
      <c r="BM57"/>
      <c r="BN57"/>
      <c r="BO57"/>
      <c r="BP57"/>
      <c r="BQ57"/>
      <c r="BR57"/>
      <c r="BS57"/>
      <c r="BT57"/>
      <c r="BU57"/>
      <c r="BV57"/>
      <c r="BW57"/>
      <c r="BX57"/>
      <c r="BY57"/>
      <c r="BZ57"/>
      <c r="CA57"/>
      <c r="CB57"/>
      <c r="CC57"/>
      <c r="CD57"/>
      <c r="CE57"/>
      <c r="CF57"/>
      <c r="CG57"/>
      <c r="CH57"/>
      <c r="CI57"/>
      <c r="CJ57"/>
      <c r="CK57"/>
      <c r="CL57"/>
      <c r="CM57"/>
      <c r="CN57"/>
      <c r="CO57"/>
      <c r="CP57"/>
      <c r="CQ57"/>
      <c r="CR57"/>
      <c r="CS57"/>
      <c r="CT57"/>
      <c r="CU57"/>
      <c r="CV57"/>
      <c r="CW57"/>
      <c r="CX57"/>
      <c r="CY57"/>
      <c r="CZ57"/>
      <c r="DA57"/>
      <c r="DB57"/>
      <c r="DC57"/>
      <c r="DD57"/>
      <c r="DE57"/>
      <c r="DF57"/>
      <c r="DG57"/>
      <c r="DH57"/>
      <c r="DI57"/>
      <c r="DJ57"/>
      <c r="DK57"/>
      <c r="DL57"/>
      <c r="DM57"/>
      <c r="DN57"/>
      <c r="DO57"/>
      <c r="DP57"/>
      <c r="DQ57"/>
      <c r="DR57"/>
      <c r="DS57"/>
      <c r="DT57"/>
      <c r="DU57"/>
      <c r="DV57"/>
      <c r="DW57"/>
      <c r="DX57"/>
      <c r="DY57"/>
      <c r="DZ57"/>
      <c r="EA57"/>
      <c r="EB57"/>
      <c r="EC57"/>
      <c r="ED57"/>
      <c r="EE57"/>
      <c r="EF57"/>
      <c r="EG57"/>
      <c r="EH57"/>
      <c r="EI57"/>
      <c r="EJ57"/>
      <c r="EK57"/>
      <c r="EL57"/>
      <c r="EM57"/>
      <c r="EN57"/>
      <c r="EO57"/>
      <c r="EP57"/>
      <c r="EQ57"/>
      <c r="ER57"/>
      <c r="ES57"/>
      <c r="ET57"/>
      <c r="EU57"/>
      <c r="EV57"/>
      <c r="EW57"/>
      <c r="EX57"/>
      <c r="EY57"/>
      <c r="EZ57"/>
      <c r="FA57"/>
      <c r="FB57"/>
      <c r="FC57"/>
      <c r="FD57"/>
      <c r="FE57"/>
      <c r="FF57"/>
      <c r="FG57"/>
      <c r="FH57"/>
      <c r="FI57"/>
      <c r="FJ57"/>
      <c r="FK57"/>
      <c r="FL57"/>
      <c r="FM57"/>
      <c r="FN57"/>
      <c r="FO57"/>
      <c r="FP57"/>
      <c r="FQ57"/>
      <c r="FR57"/>
      <c r="FS57"/>
      <c r="FT57"/>
      <c r="FU57"/>
      <c r="FV57"/>
      <c r="FW57"/>
      <c r="FX57"/>
      <c r="FY57"/>
      <c r="FZ57"/>
      <c r="GA57"/>
      <c r="GB57"/>
      <c r="GC57"/>
      <c r="GD57"/>
      <c r="GE57"/>
      <c r="GF57"/>
      <c r="GG57"/>
      <c r="GH57"/>
      <c r="GI57"/>
      <c r="GJ57"/>
      <c r="GK57"/>
    </row>
    <row r="58" spans="1:193" ht="18" hidden="1" customHeight="1" x14ac:dyDescent="0.25">
      <c r="A58" s="8" t="s">
        <v>60</v>
      </c>
      <c r="B58" s="8">
        <v>2034</v>
      </c>
      <c r="C58" s="8">
        <v>69</v>
      </c>
      <c r="D58" s="8">
        <v>1923</v>
      </c>
      <c r="E58" s="8">
        <v>42</v>
      </c>
      <c r="F58" s="8">
        <v>1326627</v>
      </c>
      <c r="G58" s="8" t="s">
        <v>196</v>
      </c>
      <c r="H58" s="1">
        <v>43888</v>
      </c>
      <c r="I58" s="14">
        <f t="shared" si="0"/>
        <v>3.3923303834808259E-2</v>
      </c>
      <c r="J58" s="14">
        <f t="shared" si="1"/>
        <v>0.94542772861356927</v>
      </c>
      <c r="K58" s="17">
        <f t="shared" si="2"/>
        <v>1.5332116714042456E-3</v>
      </c>
      <c r="L58" s="8" t="str" cm="1">
        <f t="array" ref="L58">_xlfn.IFS(I58&gt;5%,"High Risk",AND(I58&gt;2%,I58&lt;5%),"Modrate Risk",I58&lt;2%, "Low Risk")</f>
        <v>Modrate Risk</v>
      </c>
      <c r="N58"/>
      <c r="O58"/>
      <c r="P58"/>
      <c r="Q58"/>
      <c r="R58"/>
      <c r="S58"/>
      <c r="T58"/>
      <c r="U58"/>
      <c r="V58"/>
      <c r="W58"/>
      <c r="X58"/>
      <c r="Y58"/>
      <c r="Z58"/>
      <c r="AA58"/>
      <c r="AB58"/>
      <c r="AC58"/>
      <c r="AD58"/>
      <c r="AE58"/>
      <c r="AF58"/>
      <c r="AG58"/>
      <c r="AH58"/>
      <c r="AI58"/>
      <c r="AJ58"/>
      <c r="AK58"/>
      <c r="AL58"/>
      <c r="AM58"/>
      <c r="AN58"/>
      <c r="AO58"/>
      <c r="AP58"/>
      <c r="AQ58"/>
      <c r="AR58"/>
      <c r="AS58"/>
      <c r="AT58"/>
      <c r="AU58"/>
      <c r="AV58"/>
      <c r="AW58"/>
      <c r="AX58"/>
      <c r="AY58"/>
      <c r="AZ58"/>
      <c r="BA58"/>
      <c r="BB58"/>
      <c r="BC58"/>
      <c r="BD58"/>
      <c r="BE58"/>
      <c r="BF58"/>
      <c r="BG58"/>
      <c r="BH58"/>
      <c r="BI58"/>
      <c r="BJ58"/>
      <c r="BK58"/>
      <c r="BL58"/>
      <c r="BM58"/>
      <c r="BN58"/>
      <c r="BO58"/>
      <c r="BP58"/>
      <c r="BQ58"/>
      <c r="BR58"/>
      <c r="BS58"/>
      <c r="BT58"/>
      <c r="BU58"/>
      <c r="BV58"/>
      <c r="BW58"/>
      <c r="BX58"/>
      <c r="BY58"/>
      <c r="BZ58"/>
      <c r="CA58"/>
      <c r="CB58"/>
      <c r="CC58"/>
      <c r="CD58"/>
      <c r="CE58"/>
      <c r="CF58"/>
      <c r="CG58"/>
      <c r="CH58"/>
      <c r="CI58"/>
      <c r="CJ58"/>
      <c r="CK58"/>
      <c r="CL58"/>
      <c r="CM58"/>
      <c r="CN58"/>
      <c r="CO58"/>
      <c r="CP58"/>
      <c r="CQ58"/>
      <c r="CR58"/>
      <c r="CS58"/>
      <c r="CT58"/>
      <c r="CU58"/>
      <c r="CV58"/>
      <c r="CW58"/>
      <c r="CX58"/>
      <c r="CY58"/>
      <c r="CZ58"/>
      <c r="DA58"/>
      <c r="DB58"/>
      <c r="DC58"/>
      <c r="DD58"/>
      <c r="DE58"/>
      <c r="DF58"/>
      <c r="DG58"/>
      <c r="DH58"/>
      <c r="DI58"/>
      <c r="DJ58"/>
      <c r="DK58"/>
      <c r="DL58"/>
      <c r="DM58"/>
      <c r="DN58"/>
      <c r="DO58"/>
      <c r="DP58"/>
      <c r="DQ58"/>
      <c r="DR58"/>
      <c r="DS58"/>
      <c r="DT58"/>
      <c r="DU58"/>
      <c r="DV58"/>
      <c r="DW58"/>
      <c r="DX58"/>
      <c r="DY58"/>
      <c r="DZ58"/>
      <c r="EA58"/>
      <c r="EB58"/>
      <c r="EC58"/>
      <c r="ED58"/>
      <c r="EE58"/>
      <c r="EF58"/>
      <c r="EG58"/>
      <c r="EH58"/>
      <c r="EI58"/>
      <c r="EJ58"/>
      <c r="EK58"/>
      <c r="EL58"/>
      <c r="EM58"/>
      <c r="EN58"/>
      <c r="EO58"/>
      <c r="EP58"/>
      <c r="EQ58"/>
      <c r="ER58"/>
      <c r="ES58"/>
      <c r="ET58"/>
      <c r="EU58"/>
      <c r="EV58"/>
      <c r="EW58"/>
      <c r="EX58"/>
      <c r="EY58"/>
      <c r="EZ58"/>
      <c r="FA58"/>
      <c r="FB58"/>
      <c r="FC58"/>
      <c r="FD58"/>
      <c r="FE58"/>
      <c r="FF58"/>
      <c r="FG58"/>
      <c r="FH58"/>
      <c r="FI58"/>
      <c r="FJ58"/>
      <c r="FK58"/>
      <c r="FL58"/>
      <c r="FM58"/>
      <c r="FN58"/>
      <c r="FO58"/>
      <c r="FP58"/>
      <c r="FQ58"/>
      <c r="FR58"/>
      <c r="FS58"/>
      <c r="FT58"/>
      <c r="FU58"/>
      <c r="FV58"/>
      <c r="FW58"/>
      <c r="FX58"/>
      <c r="FY58"/>
      <c r="FZ58"/>
      <c r="GA58"/>
      <c r="GB58"/>
      <c r="GC58"/>
      <c r="GD58"/>
      <c r="GE58"/>
      <c r="GF58"/>
      <c r="GG58"/>
      <c r="GH58"/>
      <c r="GI58"/>
      <c r="GJ58"/>
      <c r="GK58"/>
    </row>
    <row r="59" spans="1:193" ht="18" hidden="1" customHeight="1" x14ac:dyDescent="0.25">
      <c r="A59" s="9" t="s">
        <v>61</v>
      </c>
      <c r="B59" s="9">
        <v>2316</v>
      </c>
      <c r="C59" s="9">
        <v>34</v>
      </c>
      <c r="D59" s="9">
        <v>1025</v>
      </c>
      <c r="E59" s="9">
        <v>1257</v>
      </c>
      <c r="F59" s="9">
        <v>1161348</v>
      </c>
      <c r="G59" s="9" t="s">
        <v>197</v>
      </c>
      <c r="H59" s="10">
        <v>43904</v>
      </c>
      <c r="I59" s="15">
        <f t="shared" si="0"/>
        <v>1.468048359240069E-2</v>
      </c>
      <c r="J59" s="15">
        <f t="shared" si="1"/>
        <v>0.442573402417962</v>
      </c>
      <c r="K59" s="18">
        <f t="shared" si="2"/>
        <v>1.9942342863637774E-3</v>
      </c>
      <c r="L59" s="9" t="str" cm="1">
        <f t="array" ref="L59">_xlfn.IFS(I59&gt;5%,"High Risk",AND(I59&gt;2%,I59&lt;5%),"Modrate Risk",I59&lt;2%, "Low Risk")</f>
        <v>Low Risk</v>
      </c>
      <c r="N59"/>
      <c r="O59"/>
      <c r="P59"/>
      <c r="Q59"/>
      <c r="R59"/>
      <c r="S59"/>
      <c r="T59"/>
      <c r="U59"/>
      <c r="V59"/>
      <c r="W59"/>
      <c r="X59"/>
      <c r="Y59"/>
      <c r="Z59"/>
      <c r="AA59"/>
      <c r="AB59"/>
      <c r="AC59"/>
      <c r="AD59"/>
      <c r="AE59"/>
      <c r="AF59"/>
      <c r="AG59"/>
      <c r="AH59"/>
      <c r="AI59"/>
      <c r="AJ59"/>
      <c r="AK59"/>
      <c r="AL59"/>
      <c r="AM59"/>
      <c r="AN59"/>
      <c r="AO59"/>
      <c r="AP59"/>
      <c r="AQ59"/>
      <c r="AR59"/>
      <c r="AS59"/>
      <c r="AT59"/>
      <c r="AU59"/>
      <c r="AV59"/>
      <c r="AW59"/>
      <c r="AX59"/>
      <c r="AY59"/>
      <c r="AZ59"/>
      <c r="BA59"/>
      <c r="BB59"/>
      <c r="BC59"/>
      <c r="BD59"/>
      <c r="BE59"/>
      <c r="BF59"/>
      <c r="BG59"/>
      <c r="BH59"/>
      <c r="BI59"/>
      <c r="BJ59"/>
      <c r="BK59"/>
      <c r="BL59"/>
      <c r="BM59"/>
      <c r="BN59"/>
      <c r="BO59"/>
      <c r="BP59"/>
      <c r="BQ59"/>
      <c r="BR59"/>
      <c r="BS59"/>
      <c r="BT59"/>
      <c r="BU59"/>
      <c r="BV59"/>
      <c r="BW59"/>
      <c r="BX59"/>
      <c r="BY59"/>
      <c r="BZ59"/>
      <c r="CA59"/>
      <c r="CB59"/>
      <c r="CC59"/>
      <c r="CD59"/>
      <c r="CE59"/>
      <c r="CF59"/>
      <c r="CG59"/>
      <c r="CH59"/>
      <c r="CI59"/>
      <c r="CJ59"/>
      <c r="CK59"/>
      <c r="CL59"/>
      <c r="CM59"/>
      <c r="CN59"/>
      <c r="CO59"/>
      <c r="CP59"/>
      <c r="CQ59"/>
      <c r="CR59"/>
      <c r="CS59"/>
      <c r="CT59"/>
      <c r="CU59"/>
      <c r="CV59"/>
      <c r="CW59"/>
      <c r="CX59"/>
      <c r="CY59"/>
      <c r="CZ59"/>
      <c r="DA59"/>
      <c r="DB59"/>
      <c r="DC59"/>
      <c r="DD59"/>
      <c r="DE59"/>
      <c r="DF59"/>
      <c r="DG59"/>
      <c r="DH59"/>
      <c r="DI59"/>
      <c r="DJ59"/>
      <c r="DK59"/>
      <c r="DL59"/>
      <c r="DM59"/>
      <c r="DN59"/>
      <c r="DO59"/>
      <c r="DP59"/>
      <c r="DQ59"/>
      <c r="DR59"/>
      <c r="DS59"/>
      <c r="DT59"/>
      <c r="DU59"/>
      <c r="DV59"/>
      <c r="DW59"/>
      <c r="DX59"/>
      <c r="DY59"/>
      <c r="DZ59"/>
      <c r="EA59"/>
      <c r="EB59"/>
      <c r="EC59"/>
      <c r="ED59"/>
      <c r="EE59"/>
      <c r="EF59"/>
      <c r="EG59"/>
      <c r="EH59"/>
      <c r="EI59"/>
      <c r="EJ59"/>
      <c r="EK59"/>
      <c r="EL59"/>
      <c r="EM59"/>
      <c r="EN59"/>
      <c r="EO59"/>
      <c r="EP59"/>
      <c r="EQ59"/>
      <c r="ER59"/>
      <c r="ES59"/>
      <c r="ET59"/>
      <c r="EU59"/>
      <c r="EV59"/>
      <c r="EW59"/>
      <c r="EX59"/>
      <c r="EY59"/>
      <c r="EZ59"/>
      <c r="FA59"/>
      <c r="FB59"/>
      <c r="FC59"/>
      <c r="FD59"/>
      <c r="FE59"/>
      <c r="FF59"/>
      <c r="FG59"/>
      <c r="FH59"/>
      <c r="FI59"/>
      <c r="FJ59"/>
      <c r="FK59"/>
      <c r="FL59"/>
      <c r="FM59"/>
      <c r="FN59"/>
      <c r="FO59"/>
      <c r="FP59"/>
      <c r="FQ59"/>
      <c r="FR59"/>
      <c r="FS59"/>
      <c r="FT59"/>
      <c r="FU59"/>
      <c r="FV59"/>
      <c r="FW59"/>
      <c r="FX59"/>
      <c r="FY59"/>
      <c r="FZ59"/>
      <c r="GA59"/>
      <c r="GB59"/>
      <c r="GC59"/>
      <c r="GD59"/>
      <c r="GE59"/>
      <c r="GF59"/>
      <c r="GG59"/>
      <c r="GH59"/>
      <c r="GI59"/>
      <c r="GJ59"/>
      <c r="GK59"/>
    </row>
    <row r="60" spans="1:193" ht="18" hidden="1" customHeight="1" x14ac:dyDescent="0.25">
      <c r="A60" s="8" t="s">
        <v>62</v>
      </c>
      <c r="B60" s="8">
        <v>14547</v>
      </c>
      <c r="C60" s="8">
        <v>228</v>
      </c>
      <c r="D60" s="8">
        <v>6386</v>
      </c>
      <c r="E60" s="8">
        <v>7933</v>
      </c>
      <c r="F60" s="8">
        <v>115223736</v>
      </c>
      <c r="G60" s="8" t="s">
        <v>197</v>
      </c>
      <c r="H60" s="1">
        <v>43903</v>
      </c>
      <c r="I60" s="14">
        <f t="shared" si="0"/>
        <v>1.5673334708187256E-2</v>
      </c>
      <c r="J60" s="14">
        <f t="shared" si="1"/>
        <v>0.43899085722142023</v>
      </c>
      <c r="K60" s="17">
        <f t="shared" si="2"/>
        <v>1.2625002890029533E-4</v>
      </c>
      <c r="L60" s="8" t="str" cm="1">
        <f t="array" ref="L60">_xlfn.IFS(I60&gt;5%,"High Risk",AND(I60&gt;2%,I60&lt;5%),"Modrate Risk",I60&lt;2%, "Low Risk")</f>
        <v>Low Risk</v>
      </c>
      <c r="N60"/>
      <c r="O60"/>
      <c r="P60"/>
      <c r="Q60"/>
      <c r="R60"/>
      <c r="S60"/>
      <c r="T60"/>
      <c r="U60"/>
      <c r="V60"/>
      <c r="W60"/>
      <c r="X60"/>
      <c r="Y60"/>
      <c r="Z60"/>
      <c r="AA60"/>
      <c r="AB60"/>
      <c r="AC60"/>
      <c r="AD60"/>
      <c r="AE60"/>
      <c r="AF60"/>
      <c r="AG60"/>
      <c r="AH60"/>
      <c r="AI60"/>
      <c r="AJ60"/>
      <c r="AK60"/>
      <c r="AL60"/>
      <c r="AM60"/>
      <c r="AN60"/>
      <c r="AO60"/>
      <c r="AP60"/>
      <c r="AQ60"/>
      <c r="AR60"/>
      <c r="AS60"/>
      <c r="AT60"/>
      <c r="AU60"/>
      <c r="AV60"/>
      <c r="AW60"/>
      <c r="AX60"/>
      <c r="AY60"/>
      <c r="AZ60"/>
      <c r="BA60"/>
      <c r="BB60"/>
      <c r="BC60"/>
      <c r="BD60"/>
      <c r="BE60"/>
      <c r="BF60"/>
      <c r="BG60"/>
      <c r="BH60"/>
      <c r="BI60"/>
      <c r="BJ60"/>
      <c r="BK60"/>
      <c r="BL60"/>
      <c r="BM60"/>
      <c r="BN60"/>
      <c r="BO60"/>
      <c r="BP60"/>
      <c r="BQ60"/>
      <c r="BR60"/>
      <c r="BS60"/>
      <c r="BT60"/>
      <c r="BU60"/>
      <c r="BV60"/>
      <c r="BW60"/>
      <c r="BX60"/>
      <c r="BY60"/>
      <c r="BZ60"/>
      <c r="CA60"/>
      <c r="CB60"/>
      <c r="CC60"/>
      <c r="CD60"/>
      <c r="CE60"/>
      <c r="CF60"/>
      <c r="CG60"/>
      <c r="CH60"/>
      <c r="CI60"/>
      <c r="CJ60"/>
      <c r="CK60"/>
      <c r="CL60"/>
      <c r="CM60"/>
      <c r="CN60"/>
      <c r="CO60"/>
      <c r="CP60"/>
      <c r="CQ60"/>
      <c r="CR60"/>
      <c r="CS60"/>
      <c r="CT60"/>
      <c r="CU60"/>
      <c r="CV60"/>
      <c r="CW60"/>
      <c r="CX60"/>
      <c r="CY60"/>
      <c r="CZ60"/>
      <c r="DA60"/>
      <c r="DB60"/>
      <c r="DC60"/>
      <c r="DD60"/>
      <c r="DE60"/>
      <c r="DF60"/>
      <c r="DG60"/>
      <c r="DH60"/>
      <c r="DI60"/>
      <c r="DJ60"/>
      <c r="DK60"/>
      <c r="DL60"/>
      <c r="DM60"/>
      <c r="DN60"/>
      <c r="DO60"/>
      <c r="DP60"/>
      <c r="DQ60"/>
      <c r="DR60"/>
      <c r="DS60"/>
      <c r="DT60"/>
      <c r="DU60"/>
      <c r="DV60"/>
      <c r="DW60"/>
      <c r="DX60"/>
      <c r="DY60"/>
      <c r="DZ60"/>
      <c r="EA60"/>
      <c r="EB60"/>
      <c r="EC60"/>
      <c r="ED60"/>
      <c r="EE60"/>
      <c r="EF60"/>
      <c r="EG60"/>
      <c r="EH60"/>
      <c r="EI60"/>
      <c r="EJ60"/>
      <c r="EK60"/>
      <c r="EL60"/>
      <c r="EM60"/>
      <c r="EN60"/>
      <c r="EO60"/>
      <c r="EP60"/>
      <c r="EQ60"/>
      <c r="ER60"/>
      <c r="ES60"/>
      <c r="ET60"/>
      <c r="EU60"/>
      <c r="EV60"/>
      <c r="EW60"/>
      <c r="EX60"/>
      <c r="EY60"/>
      <c r="EZ60"/>
      <c r="FA60"/>
      <c r="FB60"/>
      <c r="FC60"/>
      <c r="FD60"/>
      <c r="FE60"/>
      <c r="FF60"/>
      <c r="FG60"/>
      <c r="FH60"/>
      <c r="FI60"/>
      <c r="FJ60"/>
      <c r="FK60"/>
      <c r="FL60"/>
      <c r="FM60"/>
      <c r="FN60"/>
      <c r="FO60"/>
      <c r="FP60"/>
      <c r="FQ60"/>
      <c r="FR60"/>
      <c r="FS60"/>
      <c r="FT60"/>
      <c r="FU60"/>
      <c r="FV60"/>
      <c r="FW60"/>
      <c r="FX60"/>
      <c r="FY60"/>
      <c r="FZ60"/>
      <c r="GA60"/>
      <c r="GB60"/>
      <c r="GC60"/>
      <c r="GD60"/>
      <c r="GE60"/>
      <c r="GF60"/>
      <c r="GG60"/>
      <c r="GH60"/>
      <c r="GI60"/>
      <c r="GJ60"/>
      <c r="GK60"/>
    </row>
    <row r="61" spans="1:193" ht="18" hidden="1" customHeight="1" x14ac:dyDescent="0.25">
      <c r="A61" s="9" t="s">
        <v>63</v>
      </c>
      <c r="B61" s="9">
        <v>27</v>
      </c>
      <c r="C61" s="9">
        <v>0</v>
      </c>
      <c r="D61" s="9">
        <v>18</v>
      </c>
      <c r="E61" s="9">
        <v>9</v>
      </c>
      <c r="F61" s="9">
        <v>897095</v>
      </c>
      <c r="G61" s="9" t="s">
        <v>200</v>
      </c>
      <c r="H61" s="10">
        <v>43909</v>
      </c>
      <c r="I61" s="15">
        <f t="shared" si="0"/>
        <v>0</v>
      </c>
      <c r="J61" s="15">
        <f t="shared" si="1"/>
        <v>0.66666666666666663</v>
      </c>
      <c r="K61" s="18">
        <f t="shared" si="2"/>
        <v>3.0097146901944609E-5</v>
      </c>
      <c r="L61" s="9" t="str" cm="1">
        <f t="array" ref="L61">_xlfn.IFS(I61&gt;5%,"High Risk",AND(I61&gt;2%,I61&lt;5%),"Modrate Risk",I61&lt;2%, "Low Risk")</f>
        <v>Low Risk</v>
      </c>
      <c r="N61"/>
      <c r="O61"/>
      <c r="P61"/>
      <c r="Q61"/>
      <c r="R61"/>
      <c r="S61"/>
      <c r="T61"/>
      <c r="U61"/>
      <c r="V61"/>
      <c r="W61"/>
      <c r="X61"/>
      <c r="Y61"/>
      <c r="Z61"/>
      <c r="AA61"/>
      <c r="AB61"/>
      <c r="AC61"/>
      <c r="AD61"/>
      <c r="AE61"/>
      <c r="AF61"/>
      <c r="AG61"/>
      <c r="AH61"/>
      <c r="AI61"/>
      <c r="AJ61"/>
      <c r="AK61"/>
      <c r="AL61"/>
      <c r="AM61"/>
      <c r="AN61"/>
      <c r="AO61"/>
      <c r="AP61"/>
      <c r="AQ61"/>
      <c r="AR61"/>
      <c r="AS61"/>
      <c r="AT61"/>
      <c r="AU61"/>
      <c r="AV61"/>
      <c r="AW61"/>
      <c r="AX61"/>
      <c r="AY61"/>
      <c r="AZ61"/>
      <c r="BA61"/>
      <c r="BB61"/>
      <c r="BC61"/>
      <c r="BD61"/>
      <c r="BE61"/>
      <c r="BF61"/>
      <c r="BG61"/>
      <c r="BH61"/>
      <c r="BI61"/>
      <c r="BJ61"/>
      <c r="BK61"/>
      <c r="BL61"/>
      <c r="BM61"/>
      <c r="BN61"/>
      <c r="BO61"/>
      <c r="BP61"/>
      <c r="BQ61"/>
      <c r="BR61"/>
      <c r="BS61"/>
      <c r="BT61"/>
      <c r="BU61"/>
      <c r="BV61"/>
      <c r="BW61"/>
      <c r="BX61"/>
      <c r="BY61"/>
      <c r="BZ61"/>
      <c r="CA61"/>
      <c r="CB61"/>
      <c r="CC61"/>
      <c r="CD61"/>
      <c r="CE61"/>
      <c r="CF61"/>
      <c r="CG61"/>
      <c r="CH61"/>
      <c r="CI61"/>
      <c r="CJ61"/>
      <c r="CK61"/>
      <c r="CL61"/>
      <c r="CM61"/>
      <c r="CN61"/>
      <c r="CO61"/>
      <c r="CP61"/>
      <c r="CQ61"/>
      <c r="CR61"/>
      <c r="CS61"/>
      <c r="CT61"/>
      <c r="CU61"/>
      <c r="CV61"/>
      <c r="CW61"/>
      <c r="CX61"/>
      <c r="CY61"/>
      <c r="CZ61"/>
      <c r="DA61"/>
      <c r="DB61"/>
      <c r="DC61"/>
      <c r="DD61"/>
      <c r="DE61"/>
      <c r="DF61"/>
      <c r="DG61"/>
      <c r="DH61"/>
      <c r="DI61"/>
      <c r="DJ61"/>
      <c r="DK61"/>
      <c r="DL61"/>
      <c r="DM61"/>
      <c r="DN61"/>
      <c r="DO61"/>
      <c r="DP61"/>
      <c r="DQ61"/>
      <c r="DR61"/>
      <c r="DS61"/>
      <c r="DT61"/>
      <c r="DU61"/>
      <c r="DV61"/>
      <c r="DW61"/>
      <c r="DX61"/>
      <c r="DY61"/>
      <c r="DZ61"/>
      <c r="EA61"/>
      <c r="EB61"/>
      <c r="EC61"/>
      <c r="ED61"/>
      <c r="EE61"/>
      <c r="EF61"/>
      <c r="EG61"/>
      <c r="EH61"/>
      <c r="EI61"/>
      <c r="EJ61"/>
      <c r="EK61"/>
      <c r="EL61"/>
      <c r="EM61"/>
      <c r="EN61"/>
      <c r="EO61"/>
      <c r="EP61"/>
      <c r="EQ61"/>
      <c r="ER61"/>
      <c r="ES61"/>
      <c r="ET61"/>
      <c r="EU61"/>
      <c r="EV61"/>
      <c r="EW61"/>
      <c r="EX61"/>
      <c r="EY61"/>
      <c r="EZ61"/>
      <c r="FA61"/>
      <c r="FB61"/>
      <c r="FC61"/>
      <c r="FD61"/>
      <c r="FE61"/>
      <c r="FF61"/>
      <c r="FG61"/>
      <c r="FH61"/>
      <c r="FI61"/>
      <c r="FJ61"/>
      <c r="FK61"/>
      <c r="FL61"/>
      <c r="FM61"/>
      <c r="FN61"/>
      <c r="FO61"/>
      <c r="FP61"/>
      <c r="FQ61"/>
      <c r="FR61"/>
      <c r="FS61"/>
      <c r="FT61"/>
      <c r="FU61"/>
      <c r="FV61"/>
      <c r="FW61"/>
      <c r="FX61"/>
      <c r="FY61"/>
      <c r="FZ61"/>
      <c r="GA61"/>
      <c r="GB61"/>
      <c r="GC61"/>
      <c r="GD61"/>
      <c r="GE61"/>
      <c r="GF61"/>
      <c r="GG61"/>
      <c r="GH61"/>
      <c r="GI61"/>
      <c r="GJ61"/>
      <c r="GK61"/>
    </row>
    <row r="62" spans="1:193" ht="18" hidden="1" customHeight="1" x14ac:dyDescent="0.25">
      <c r="A62" s="8" t="s">
        <v>64</v>
      </c>
      <c r="B62" s="8">
        <v>7398</v>
      </c>
      <c r="C62" s="8">
        <v>329</v>
      </c>
      <c r="D62" s="8">
        <v>6920</v>
      </c>
      <c r="E62" s="8">
        <v>149</v>
      </c>
      <c r="F62" s="8">
        <v>5541604</v>
      </c>
      <c r="G62" s="8" t="s">
        <v>196</v>
      </c>
      <c r="H62" s="1">
        <v>43887</v>
      </c>
      <c r="I62" s="14">
        <f t="shared" si="0"/>
        <v>4.4471478778048121E-2</v>
      </c>
      <c r="J62" s="14">
        <f t="shared" si="1"/>
        <v>0.93538794268721281</v>
      </c>
      <c r="K62" s="17">
        <f t="shared" si="2"/>
        <v>1.334992540066017E-3</v>
      </c>
      <c r="L62" s="8" t="str" cm="1">
        <f t="array" ref="L62">_xlfn.IFS(I62&gt;5%,"High Risk",AND(I62&gt;2%,I62&lt;5%),"Modrate Risk",I62&lt;2%, "Low Risk")</f>
        <v>Modrate Risk</v>
      </c>
      <c r="N62"/>
      <c r="O62"/>
      <c r="P62"/>
      <c r="Q62"/>
      <c r="R62"/>
      <c r="S62"/>
      <c r="T62"/>
      <c r="U62"/>
      <c r="V62"/>
      <c r="W62"/>
      <c r="X62"/>
      <c r="Y62"/>
      <c r="Z62"/>
      <c r="AA62"/>
      <c r="AB62"/>
      <c r="AC62"/>
      <c r="AD62"/>
      <c r="AE62"/>
      <c r="AF62"/>
      <c r="AG62"/>
      <c r="AH62"/>
      <c r="AI62"/>
      <c r="AJ62"/>
      <c r="AK62"/>
      <c r="AL62"/>
      <c r="AM62"/>
      <c r="AN62"/>
      <c r="AO62"/>
      <c r="AP62"/>
      <c r="AQ62"/>
      <c r="AR62"/>
      <c r="AS62"/>
      <c r="AT62"/>
      <c r="AU62"/>
      <c r="AV62"/>
      <c r="AW62"/>
      <c r="AX62"/>
      <c r="AY62"/>
      <c r="AZ62"/>
      <c r="BA62"/>
      <c r="BB62"/>
      <c r="BC62"/>
      <c r="BD62"/>
      <c r="BE62"/>
      <c r="BF62"/>
      <c r="BG62"/>
      <c r="BH62"/>
      <c r="BI62"/>
      <c r="BJ62"/>
      <c r="BK62"/>
      <c r="BL62"/>
      <c r="BM62"/>
      <c r="BN62"/>
      <c r="BO62"/>
      <c r="BP62"/>
      <c r="BQ62"/>
      <c r="BR62"/>
      <c r="BS62"/>
      <c r="BT62"/>
      <c r="BU62"/>
      <c r="BV62"/>
      <c r="BW62"/>
      <c r="BX62"/>
      <c r="BY62"/>
      <c r="BZ62"/>
      <c r="CA62"/>
      <c r="CB62"/>
      <c r="CC62"/>
      <c r="CD62"/>
      <c r="CE62"/>
      <c r="CF62"/>
      <c r="CG62"/>
      <c r="CH62"/>
      <c r="CI62"/>
      <c r="CJ62"/>
      <c r="CK62"/>
      <c r="CL62"/>
      <c r="CM62"/>
      <c r="CN62"/>
      <c r="CO62"/>
      <c r="CP62"/>
      <c r="CQ62"/>
      <c r="CR62"/>
      <c r="CS62"/>
      <c r="CT62"/>
      <c r="CU62"/>
      <c r="CV62"/>
      <c r="CW62"/>
      <c r="CX62"/>
      <c r="CY62"/>
      <c r="CZ62"/>
      <c r="DA62"/>
      <c r="DB62"/>
      <c r="DC62"/>
      <c r="DD62"/>
      <c r="DE62"/>
      <c r="DF62"/>
      <c r="DG62"/>
      <c r="DH62"/>
      <c r="DI62"/>
      <c r="DJ62"/>
      <c r="DK62"/>
      <c r="DL62"/>
      <c r="DM62"/>
      <c r="DN62"/>
      <c r="DO62"/>
      <c r="DP62"/>
      <c r="DQ62"/>
      <c r="DR62"/>
      <c r="DS62"/>
      <c r="DT62"/>
      <c r="DU62"/>
      <c r="DV62"/>
      <c r="DW62"/>
      <c r="DX62"/>
      <c r="DY62"/>
      <c r="DZ62"/>
      <c r="EA62"/>
      <c r="EB62"/>
      <c r="EC62"/>
      <c r="ED62"/>
      <c r="EE62"/>
      <c r="EF62"/>
      <c r="EG62"/>
      <c r="EH62"/>
      <c r="EI62"/>
      <c r="EJ62"/>
      <c r="EK62"/>
      <c r="EL62"/>
      <c r="EM62"/>
      <c r="EN62"/>
      <c r="EO62"/>
      <c r="EP62"/>
      <c r="EQ62"/>
      <c r="ER62"/>
      <c r="ES62"/>
      <c r="ET62"/>
      <c r="EU62"/>
      <c r="EV62"/>
      <c r="EW62"/>
      <c r="EX62"/>
      <c r="EY62"/>
      <c r="EZ62"/>
      <c r="FA62"/>
      <c r="FB62"/>
      <c r="FC62"/>
      <c r="FD62"/>
      <c r="FE62"/>
      <c r="FF62"/>
      <c r="FG62"/>
      <c r="FH62"/>
      <c r="FI62"/>
      <c r="FJ62"/>
      <c r="FK62"/>
      <c r="FL62"/>
      <c r="FM62"/>
      <c r="FN62"/>
      <c r="FO62"/>
      <c r="FP62"/>
      <c r="FQ62"/>
      <c r="FR62"/>
      <c r="FS62"/>
      <c r="FT62"/>
      <c r="FU62"/>
      <c r="FV62"/>
      <c r="FW62"/>
      <c r="FX62"/>
      <c r="FY62"/>
      <c r="FZ62"/>
      <c r="GA62"/>
      <c r="GB62"/>
      <c r="GC62"/>
      <c r="GD62"/>
      <c r="GE62"/>
      <c r="GF62"/>
      <c r="GG62"/>
      <c r="GH62"/>
      <c r="GI62"/>
      <c r="GJ62"/>
      <c r="GK62"/>
    </row>
    <row r="63" spans="1:193" ht="18" hidden="1" customHeight="1" x14ac:dyDescent="0.25">
      <c r="A63" s="9" t="s">
        <v>65</v>
      </c>
      <c r="B63" s="9">
        <v>220352</v>
      </c>
      <c r="C63" s="9">
        <v>30212</v>
      </c>
      <c r="D63" s="9">
        <v>81212</v>
      </c>
      <c r="E63" s="9">
        <v>108928</v>
      </c>
      <c r="F63" s="9">
        <v>65288306</v>
      </c>
      <c r="G63" s="9" t="s">
        <v>196</v>
      </c>
      <c r="H63" s="10">
        <v>43826</v>
      </c>
      <c r="I63" s="15">
        <f t="shared" si="0"/>
        <v>0.13710790008713331</v>
      </c>
      <c r="J63" s="15">
        <f t="shared" si="1"/>
        <v>0.36855576532094103</v>
      </c>
      <c r="K63" s="18">
        <f t="shared" si="2"/>
        <v>3.3750607650932158E-3</v>
      </c>
      <c r="L63" s="9" t="str" cm="1">
        <f t="array" ref="L63">_xlfn.IFS(I63&gt;5%,"High Risk",AND(I63&gt;2%,I63&lt;5%),"Modrate Risk",I63&lt;2%, "Low Risk")</f>
        <v>High Risk</v>
      </c>
      <c r="N63"/>
      <c r="O63"/>
      <c r="P63"/>
      <c r="Q63"/>
      <c r="R63"/>
      <c r="S63"/>
      <c r="T63"/>
      <c r="U63"/>
      <c r="V63"/>
      <c r="W63"/>
      <c r="X63"/>
      <c r="Y63"/>
      <c r="Z63"/>
      <c r="AA63"/>
      <c r="AB63"/>
      <c r="AC63"/>
      <c r="AD63"/>
      <c r="AE63"/>
      <c r="AF63"/>
      <c r="AG63"/>
      <c r="AH63"/>
      <c r="AI63"/>
      <c r="AJ63"/>
      <c r="AK63"/>
      <c r="AL63"/>
      <c r="AM63"/>
      <c r="AN63"/>
      <c r="AO63"/>
      <c r="AP63"/>
      <c r="AQ63"/>
      <c r="AR63"/>
      <c r="AS63"/>
      <c r="AT63"/>
      <c r="AU63"/>
      <c r="AV63"/>
      <c r="AW63"/>
      <c r="AX63"/>
      <c r="AY63"/>
      <c r="AZ63"/>
      <c r="BA63"/>
      <c r="BB63"/>
      <c r="BC63"/>
      <c r="BD63"/>
      <c r="BE63"/>
      <c r="BF63"/>
      <c r="BG63"/>
      <c r="BH63"/>
      <c r="BI63"/>
      <c r="BJ63"/>
      <c r="BK63"/>
      <c r="BL63"/>
      <c r="BM63"/>
      <c r="BN63"/>
      <c r="BO63"/>
      <c r="BP63"/>
      <c r="BQ63"/>
      <c r="BR63"/>
      <c r="BS63"/>
      <c r="BT63"/>
      <c r="BU63"/>
      <c r="BV63"/>
      <c r="BW63"/>
      <c r="BX63"/>
      <c r="BY63"/>
      <c r="BZ63"/>
      <c r="CA63"/>
      <c r="CB63"/>
      <c r="CC63"/>
      <c r="CD63"/>
      <c r="CE63"/>
      <c r="CF63"/>
      <c r="CG63"/>
      <c r="CH63"/>
      <c r="CI63"/>
      <c r="CJ63"/>
      <c r="CK63"/>
      <c r="CL63"/>
      <c r="CM63"/>
      <c r="CN63"/>
      <c r="CO63"/>
      <c r="CP63"/>
      <c r="CQ63"/>
      <c r="CR63"/>
      <c r="CS63"/>
      <c r="CT63"/>
      <c r="CU63"/>
      <c r="CV63"/>
      <c r="CW63"/>
      <c r="CX63"/>
      <c r="CY63"/>
      <c r="CZ63"/>
      <c r="DA63"/>
      <c r="DB63"/>
      <c r="DC63"/>
      <c r="DD63"/>
      <c r="DE63"/>
      <c r="DF63"/>
      <c r="DG63"/>
      <c r="DH63"/>
      <c r="DI63"/>
      <c r="DJ63"/>
      <c r="DK63"/>
      <c r="DL63"/>
      <c r="DM63"/>
      <c r="DN63"/>
      <c r="DO63"/>
      <c r="DP63"/>
      <c r="DQ63"/>
      <c r="DR63"/>
      <c r="DS63"/>
      <c r="DT63"/>
      <c r="DU63"/>
      <c r="DV63"/>
      <c r="DW63"/>
      <c r="DX63"/>
      <c r="DY63"/>
      <c r="DZ63"/>
      <c r="EA63"/>
      <c r="EB63"/>
      <c r="EC63"/>
      <c r="ED63"/>
      <c r="EE63"/>
      <c r="EF63"/>
      <c r="EG63"/>
      <c r="EH63"/>
      <c r="EI63"/>
      <c r="EJ63"/>
      <c r="EK63"/>
      <c r="EL63"/>
      <c r="EM63"/>
      <c r="EN63"/>
      <c r="EO63"/>
      <c r="EP63"/>
      <c r="EQ63"/>
      <c r="ER63"/>
      <c r="ES63"/>
      <c r="ET63"/>
      <c r="EU63"/>
      <c r="EV63"/>
      <c r="EW63"/>
      <c r="EX63"/>
      <c r="EY63"/>
      <c r="EZ63"/>
      <c r="FA63"/>
      <c r="FB63"/>
      <c r="FC63"/>
      <c r="FD63"/>
      <c r="FE63"/>
      <c r="FF63"/>
      <c r="FG63"/>
      <c r="FH63"/>
      <c r="FI63"/>
      <c r="FJ63"/>
      <c r="FK63"/>
      <c r="FL63"/>
      <c r="FM63"/>
      <c r="FN63"/>
      <c r="FO63"/>
      <c r="FP63"/>
      <c r="FQ63"/>
      <c r="FR63"/>
      <c r="FS63"/>
      <c r="FT63"/>
      <c r="FU63"/>
      <c r="FV63"/>
      <c r="FW63"/>
      <c r="FX63"/>
      <c r="FY63"/>
      <c r="FZ63"/>
      <c r="GA63"/>
      <c r="GB63"/>
      <c r="GC63"/>
      <c r="GD63"/>
      <c r="GE63"/>
      <c r="GF63"/>
      <c r="GG63"/>
      <c r="GH63"/>
      <c r="GI63"/>
      <c r="GJ63"/>
      <c r="GK63"/>
    </row>
    <row r="64" spans="1:193" ht="18" hidden="1" customHeight="1" x14ac:dyDescent="0.25">
      <c r="A64" s="8" t="s">
        <v>66</v>
      </c>
      <c r="B64" s="8">
        <v>7189</v>
      </c>
      <c r="C64" s="8">
        <v>49</v>
      </c>
      <c r="D64" s="8">
        <v>4682</v>
      </c>
      <c r="E64" s="8">
        <v>2458</v>
      </c>
      <c r="F64" s="8">
        <v>2230563</v>
      </c>
      <c r="G64" s="8" t="s">
        <v>197</v>
      </c>
      <c r="H64" s="1">
        <v>43902</v>
      </c>
      <c r="I64" s="14">
        <f t="shared" si="0"/>
        <v>6.815968841285297E-3</v>
      </c>
      <c r="J64" s="14">
        <f t="shared" si="1"/>
        <v>0.65127277785505633</v>
      </c>
      <c r="K64" s="17">
        <f t="shared" si="2"/>
        <v>3.2229531288737417E-3</v>
      </c>
      <c r="L64" s="8" t="str" cm="1">
        <f t="array" ref="L64">_xlfn.IFS(I64&gt;5%,"High Risk",AND(I64&gt;2%,I64&lt;5%),"Modrate Risk",I64&lt;2%, "Low Risk")</f>
        <v>Low Risk</v>
      </c>
      <c r="N64"/>
      <c r="O64"/>
      <c r="P64"/>
      <c r="Q64"/>
      <c r="R64"/>
      <c r="S64"/>
      <c r="T64"/>
      <c r="U64"/>
      <c r="V64"/>
      <c r="W64"/>
      <c r="X64"/>
      <c r="Y64"/>
      <c r="Z64"/>
      <c r="AA64"/>
      <c r="AB64"/>
      <c r="AC64"/>
      <c r="AD64"/>
      <c r="AE64"/>
      <c r="AF64"/>
      <c r="AG64"/>
      <c r="AH64"/>
      <c r="AI64"/>
      <c r="AJ64"/>
      <c r="AK64"/>
      <c r="AL64"/>
      <c r="AM64"/>
      <c r="AN64"/>
      <c r="AO64"/>
      <c r="AP64"/>
      <c r="AQ64"/>
      <c r="AR64"/>
      <c r="AS64"/>
      <c r="AT64"/>
      <c r="AU64"/>
      <c r="AV64"/>
      <c r="AW64"/>
      <c r="AX64"/>
      <c r="AY64"/>
      <c r="AZ64"/>
      <c r="BA64"/>
      <c r="BB64"/>
      <c r="BC64"/>
      <c r="BD64"/>
      <c r="BE64"/>
      <c r="BF64"/>
      <c r="BG64"/>
      <c r="BH64"/>
      <c r="BI64"/>
      <c r="BJ64"/>
      <c r="BK64"/>
      <c r="BL64"/>
      <c r="BM64"/>
      <c r="BN64"/>
      <c r="BO64"/>
      <c r="BP64"/>
      <c r="BQ64"/>
      <c r="BR64"/>
      <c r="BS64"/>
      <c r="BT64"/>
      <c r="BU64"/>
      <c r="BV64"/>
      <c r="BW64"/>
      <c r="BX64"/>
      <c r="BY64"/>
      <c r="BZ64"/>
      <c r="CA64"/>
      <c r="CB64"/>
      <c r="CC64"/>
      <c r="CD64"/>
      <c r="CE64"/>
      <c r="CF64"/>
      <c r="CG64"/>
      <c r="CH64"/>
      <c r="CI64"/>
      <c r="CJ64"/>
      <c r="CK64"/>
      <c r="CL64"/>
      <c r="CM64"/>
      <c r="CN64"/>
      <c r="CO64"/>
      <c r="CP64"/>
      <c r="CQ64"/>
      <c r="CR64"/>
      <c r="CS64"/>
      <c r="CT64"/>
      <c r="CU64"/>
      <c r="CV64"/>
      <c r="CW64"/>
      <c r="CX64"/>
      <c r="CY64"/>
      <c r="CZ64"/>
      <c r="DA64"/>
      <c r="DB64"/>
      <c r="DC64"/>
      <c r="DD64"/>
      <c r="DE64"/>
      <c r="DF64"/>
      <c r="DG64"/>
      <c r="DH64"/>
      <c r="DI64"/>
      <c r="DJ64"/>
      <c r="DK64"/>
      <c r="DL64"/>
      <c r="DM64"/>
      <c r="DN64"/>
      <c r="DO64"/>
      <c r="DP64"/>
      <c r="DQ64"/>
      <c r="DR64"/>
      <c r="DS64"/>
      <c r="DT64"/>
      <c r="DU64"/>
      <c r="DV64"/>
      <c r="DW64"/>
      <c r="DX64"/>
      <c r="DY64"/>
      <c r="DZ64"/>
      <c r="EA64"/>
      <c r="EB64"/>
      <c r="EC64"/>
      <c r="ED64"/>
      <c r="EE64"/>
      <c r="EF64"/>
      <c r="EG64"/>
      <c r="EH64"/>
      <c r="EI64"/>
      <c r="EJ64"/>
      <c r="EK64"/>
      <c r="EL64"/>
      <c r="EM64"/>
      <c r="EN64"/>
      <c r="EO64"/>
      <c r="EP64"/>
      <c r="EQ64"/>
      <c r="ER64"/>
      <c r="ES64"/>
      <c r="ET64"/>
      <c r="EU64"/>
      <c r="EV64"/>
      <c r="EW64"/>
      <c r="EX64"/>
      <c r="EY64"/>
      <c r="EZ64"/>
      <c r="FA64"/>
      <c r="FB64"/>
      <c r="FC64"/>
      <c r="FD64"/>
      <c r="FE64"/>
      <c r="FF64"/>
      <c r="FG64"/>
      <c r="FH64"/>
      <c r="FI64"/>
      <c r="FJ64"/>
      <c r="FK64"/>
      <c r="FL64"/>
      <c r="FM64"/>
      <c r="FN64"/>
      <c r="FO64"/>
      <c r="FP64"/>
      <c r="FQ64"/>
      <c r="FR64"/>
      <c r="FS64"/>
      <c r="FT64"/>
      <c r="FU64"/>
      <c r="FV64"/>
      <c r="FW64"/>
      <c r="FX64"/>
      <c r="FY64"/>
      <c r="FZ64"/>
      <c r="GA64"/>
      <c r="GB64"/>
      <c r="GC64"/>
      <c r="GD64"/>
      <c r="GE64"/>
      <c r="GF64"/>
      <c r="GG64"/>
      <c r="GH64"/>
      <c r="GI64"/>
      <c r="GJ64"/>
      <c r="GK64"/>
    </row>
    <row r="65" spans="1:193" ht="18" hidden="1" customHeight="1" x14ac:dyDescent="0.25">
      <c r="A65" s="9" t="s">
        <v>67</v>
      </c>
      <c r="B65" s="9">
        <v>326</v>
      </c>
      <c r="C65" s="9">
        <v>8</v>
      </c>
      <c r="D65" s="9">
        <v>66</v>
      </c>
      <c r="E65" s="9">
        <v>252</v>
      </c>
      <c r="F65" s="9">
        <v>2422754</v>
      </c>
      <c r="G65" s="9" t="s">
        <v>197</v>
      </c>
      <c r="H65" s="10">
        <v>43907</v>
      </c>
      <c r="I65" s="15">
        <f t="shared" si="0"/>
        <v>2.4539877300613498E-2</v>
      </c>
      <c r="J65" s="15">
        <f t="shared" si="1"/>
        <v>0.20245398773006135</v>
      </c>
      <c r="K65" s="18">
        <f t="shared" si="2"/>
        <v>1.345576150116768E-4</v>
      </c>
      <c r="L65" s="9" t="str" cm="1">
        <f t="array" ref="L65">_xlfn.IFS(I65&gt;5%,"High Risk",AND(I65&gt;2%,I65&lt;5%),"Modrate Risk",I65&lt;2%, "Low Risk")</f>
        <v>Modrate Risk</v>
      </c>
      <c r="N65"/>
      <c r="O65"/>
      <c r="P65"/>
      <c r="Q65"/>
      <c r="R65"/>
      <c r="S65"/>
      <c r="T65"/>
      <c r="U65"/>
      <c r="V65"/>
      <c r="W65"/>
      <c r="X65"/>
      <c r="Y65"/>
      <c r="Z65"/>
      <c r="AA65"/>
      <c r="AB65"/>
      <c r="AC65"/>
      <c r="AD65"/>
      <c r="AE65"/>
      <c r="AF65"/>
      <c r="AG65"/>
      <c r="AH65"/>
      <c r="AI65"/>
      <c r="AJ65"/>
      <c r="AK65"/>
      <c r="AL65"/>
      <c r="AM65"/>
      <c r="AN65"/>
      <c r="AO65"/>
      <c r="AP65"/>
      <c r="AQ65"/>
      <c r="AR65"/>
      <c r="AS65"/>
      <c r="AT65"/>
      <c r="AU65"/>
      <c r="AV65"/>
      <c r="AW65"/>
      <c r="AX65"/>
      <c r="AY65"/>
      <c r="AZ65"/>
      <c r="BA65"/>
      <c r="BB65"/>
      <c r="BC65"/>
      <c r="BD65"/>
      <c r="BE65"/>
      <c r="BF65"/>
      <c r="BG65"/>
      <c r="BH65"/>
      <c r="BI65"/>
      <c r="BJ65"/>
      <c r="BK65"/>
      <c r="BL65"/>
      <c r="BM65"/>
      <c r="BN65"/>
      <c r="BO65"/>
      <c r="BP65"/>
      <c r="BQ65"/>
      <c r="BR65"/>
      <c r="BS65"/>
      <c r="BT65"/>
      <c r="BU65"/>
      <c r="BV65"/>
      <c r="BW65"/>
      <c r="BX65"/>
      <c r="BY65"/>
      <c r="BZ65"/>
      <c r="CA65"/>
      <c r="CB65"/>
      <c r="CC65"/>
      <c r="CD65"/>
      <c r="CE65"/>
      <c r="CF65"/>
      <c r="CG65"/>
      <c r="CH65"/>
      <c r="CI65"/>
      <c r="CJ65"/>
      <c r="CK65"/>
      <c r="CL65"/>
      <c r="CM65"/>
      <c r="CN65"/>
      <c r="CO65"/>
      <c r="CP65"/>
      <c r="CQ65"/>
      <c r="CR65"/>
      <c r="CS65"/>
      <c r="CT65"/>
      <c r="CU65"/>
      <c r="CV65"/>
      <c r="CW65"/>
      <c r="CX65"/>
      <c r="CY65"/>
      <c r="CZ65"/>
      <c r="DA65"/>
      <c r="DB65"/>
      <c r="DC65"/>
      <c r="DD65"/>
      <c r="DE65"/>
      <c r="DF65"/>
      <c r="DG65"/>
      <c r="DH65"/>
      <c r="DI65"/>
      <c r="DJ65"/>
      <c r="DK65"/>
      <c r="DL65"/>
      <c r="DM65"/>
      <c r="DN65"/>
      <c r="DO65"/>
      <c r="DP65"/>
      <c r="DQ65"/>
      <c r="DR65"/>
      <c r="DS65"/>
      <c r="DT65"/>
      <c r="DU65"/>
      <c r="DV65"/>
      <c r="DW65"/>
      <c r="DX65"/>
      <c r="DY65"/>
      <c r="DZ65"/>
      <c r="EA65"/>
      <c r="EB65"/>
      <c r="EC65"/>
      <c r="ED65"/>
      <c r="EE65"/>
      <c r="EF65"/>
      <c r="EG65"/>
      <c r="EH65"/>
      <c r="EI65"/>
      <c r="EJ65"/>
      <c r="EK65"/>
      <c r="EL65"/>
      <c r="EM65"/>
      <c r="EN65"/>
      <c r="EO65"/>
      <c r="EP65"/>
      <c r="EQ65"/>
      <c r="ER65"/>
      <c r="ES65"/>
      <c r="ET65"/>
      <c r="EU65"/>
      <c r="EV65"/>
      <c r="EW65"/>
      <c r="EX65"/>
      <c r="EY65"/>
      <c r="EZ65"/>
      <c r="FA65"/>
      <c r="FB65"/>
      <c r="FC65"/>
      <c r="FD65"/>
      <c r="FE65"/>
      <c r="FF65"/>
      <c r="FG65"/>
      <c r="FH65"/>
      <c r="FI65"/>
      <c r="FJ65"/>
      <c r="FK65"/>
      <c r="FL65"/>
      <c r="FM65"/>
      <c r="FN65"/>
      <c r="FO65"/>
      <c r="FP65"/>
      <c r="FQ65"/>
      <c r="FR65"/>
      <c r="FS65"/>
      <c r="FT65"/>
      <c r="FU65"/>
      <c r="FV65"/>
      <c r="FW65"/>
      <c r="FX65"/>
      <c r="FY65"/>
      <c r="FZ65"/>
      <c r="GA65"/>
      <c r="GB65"/>
      <c r="GC65"/>
      <c r="GD65"/>
      <c r="GE65"/>
      <c r="GF65"/>
      <c r="GG65"/>
      <c r="GH65"/>
      <c r="GI65"/>
      <c r="GJ65"/>
      <c r="GK65"/>
    </row>
    <row r="66" spans="1:193" ht="18" hidden="1" customHeight="1" x14ac:dyDescent="0.25">
      <c r="A66" s="8" t="s">
        <v>68</v>
      </c>
      <c r="B66" s="8">
        <v>1137</v>
      </c>
      <c r="C66" s="8">
        <v>16</v>
      </c>
      <c r="D66" s="8">
        <v>922</v>
      </c>
      <c r="E66" s="8">
        <v>199</v>
      </c>
      <c r="F66" s="8">
        <v>3988368</v>
      </c>
      <c r="G66" s="8" t="s">
        <v>195</v>
      </c>
      <c r="H66" s="1">
        <v>43887</v>
      </c>
      <c r="I66" s="14">
        <f t="shared" si="0"/>
        <v>1.4072119613016711E-2</v>
      </c>
      <c r="J66" s="14">
        <f t="shared" si="1"/>
        <v>0.81090589270008795</v>
      </c>
      <c r="K66" s="17">
        <f t="shared" si="2"/>
        <v>2.8507900976038319E-4</v>
      </c>
      <c r="L66" s="8" t="str" cm="1">
        <f t="array" ref="L66">_xlfn.IFS(I66&gt;5%,"High Risk",AND(I66&gt;2%,I66&lt;5%),"Modrate Risk",I66&lt;2%, "Low Risk")</f>
        <v>Low Risk</v>
      </c>
      <c r="N66"/>
      <c r="O66"/>
      <c r="P66"/>
      <c r="Q66"/>
      <c r="R66"/>
      <c r="S66"/>
      <c r="T66"/>
      <c r="U66"/>
      <c r="V66"/>
      <c r="W66"/>
      <c r="X66"/>
      <c r="Y66"/>
      <c r="Z66"/>
      <c r="AA66"/>
      <c r="AB66"/>
      <c r="AC66"/>
      <c r="AD66"/>
      <c r="AE66"/>
      <c r="AF66"/>
      <c r="AG66"/>
      <c r="AH66"/>
      <c r="AI66"/>
      <c r="AJ66"/>
      <c r="AK66"/>
      <c r="AL66"/>
      <c r="AM66"/>
      <c r="AN66"/>
      <c r="AO66"/>
      <c r="AP66"/>
      <c r="AQ66"/>
      <c r="AR66"/>
      <c r="AS66"/>
      <c r="AT66"/>
      <c r="AU66"/>
      <c r="AV66"/>
      <c r="AW66"/>
      <c r="AX66"/>
      <c r="AY66"/>
      <c r="AZ66"/>
      <c r="BA66"/>
      <c r="BB66"/>
      <c r="BC66"/>
      <c r="BD66"/>
      <c r="BE66"/>
      <c r="BF66"/>
      <c r="BG66"/>
      <c r="BH66"/>
      <c r="BI66"/>
      <c r="BJ66"/>
      <c r="BK66"/>
      <c r="BL66"/>
      <c r="BM66"/>
      <c r="BN66"/>
      <c r="BO66"/>
      <c r="BP66"/>
      <c r="BQ66"/>
      <c r="BR66"/>
      <c r="BS66"/>
      <c r="BT66"/>
      <c r="BU66"/>
      <c r="BV66"/>
      <c r="BW66"/>
      <c r="BX66"/>
      <c r="BY66"/>
      <c r="BZ66"/>
      <c r="CA66"/>
      <c r="CB66"/>
      <c r="CC66"/>
      <c r="CD66"/>
      <c r="CE66"/>
      <c r="CF66"/>
      <c r="CG66"/>
      <c r="CH66"/>
      <c r="CI66"/>
      <c r="CJ66"/>
      <c r="CK66"/>
      <c r="CL66"/>
      <c r="CM66"/>
      <c r="CN66"/>
      <c r="CO66"/>
      <c r="CP66"/>
      <c r="CQ66"/>
      <c r="CR66"/>
      <c r="CS66"/>
      <c r="CT66"/>
      <c r="CU66"/>
      <c r="CV66"/>
      <c r="CW66"/>
      <c r="CX66"/>
      <c r="CY66"/>
      <c r="CZ66"/>
      <c r="DA66"/>
      <c r="DB66"/>
      <c r="DC66"/>
      <c r="DD66"/>
      <c r="DE66"/>
      <c r="DF66"/>
      <c r="DG66"/>
      <c r="DH66"/>
      <c r="DI66"/>
      <c r="DJ66"/>
      <c r="DK66"/>
      <c r="DL66"/>
      <c r="DM66"/>
      <c r="DN66"/>
      <c r="DO66"/>
      <c r="DP66"/>
      <c r="DQ66"/>
      <c r="DR66"/>
      <c r="DS66"/>
      <c r="DT66"/>
      <c r="DU66"/>
      <c r="DV66"/>
      <c r="DW66"/>
      <c r="DX66"/>
      <c r="DY66"/>
      <c r="DZ66"/>
      <c r="EA66"/>
      <c r="EB66"/>
      <c r="EC66"/>
      <c r="ED66"/>
      <c r="EE66"/>
      <c r="EF66"/>
      <c r="EG66"/>
      <c r="EH66"/>
      <c r="EI66"/>
      <c r="EJ66"/>
      <c r="EK66"/>
      <c r="EL66"/>
      <c r="EM66"/>
      <c r="EN66"/>
      <c r="EO66"/>
      <c r="EP66"/>
      <c r="EQ66"/>
      <c r="ER66"/>
      <c r="ES66"/>
      <c r="ET66"/>
      <c r="EU66"/>
      <c r="EV66"/>
      <c r="EW66"/>
      <c r="EX66"/>
      <c r="EY66"/>
      <c r="EZ66"/>
      <c r="FA66"/>
      <c r="FB66"/>
      <c r="FC66"/>
      <c r="FD66"/>
      <c r="FE66"/>
      <c r="FF66"/>
      <c r="FG66"/>
      <c r="FH66"/>
      <c r="FI66"/>
      <c r="FJ66"/>
      <c r="FK66"/>
      <c r="FL66"/>
      <c r="FM66"/>
      <c r="FN66"/>
      <c r="FO66"/>
      <c r="FP66"/>
      <c r="FQ66"/>
      <c r="FR66"/>
      <c r="FS66"/>
      <c r="FT66"/>
      <c r="FU66"/>
      <c r="FV66"/>
      <c r="FW66"/>
      <c r="FX66"/>
      <c r="FY66"/>
      <c r="FZ66"/>
      <c r="GA66"/>
      <c r="GB66"/>
      <c r="GC66"/>
      <c r="GD66"/>
      <c r="GE66"/>
      <c r="GF66"/>
      <c r="GG66"/>
      <c r="GH66"/>
      <c r="GI66"/>
      <c r="GJ66"/>
      <c r="GK66"/>
    </row>
    <row r="67" spans="1:193" ht="18" hidden="1" customHeight="1" x14ac:dyDescent="0.25">
      <c r="A67" s="9" t="s">
        <v>69</v>
      </c>
      <c r="B67" s="9">
        <v>207112</v>
      </c>
      <c r="C67" s="9">
        <v>9125</v>
      </c>
      <c r="D67" s="9">
        <v>190314</v>
      </c>
      <c r="E67" s="9">
        <v>7673</v>
      </c>
      <c r="F67" s="9">
        <v>83811260</v>
      </c>
      <c r="G67" s="9" t="s">
        <v>196</v>
      </c>
      <c r="H67" s="10">
        <v>43857</v>
      </c>
      <c r="I67" s="15">
        <f t="shared" si="0"/>
        <v>4.4058287303487965E-2</v>
      </c>
      <c r="J67" s="15">
        <f t="shared" si="1"/>
        <v>0.91889412491791878</v>
      </c>
      <c r="K67" s="18">
        <f t="shared" si="2"/>
        <v>2.4711715347078664E-3</v>
      </c>
      <c r="L67" s="9" t="str" cm="1">
        <f t="array" ref="L67">_xlfn.IFS(I67&gt;5%,"High Risk",AND(I67&gt;2%,I67&lt;5%),"Modrate Risk",I67&lt;2%, "Low Risk")</f>
        <v>Modrate Risk</v>
      </c>
      <c r="N67"/>
      <c r="O67"/>
      <c r="P67"/>
      <c r="Q67"/>
      <c r="R67"/>
      <c r="S67"/>
      <c r="T67"/>
      <c r="U67"/>
      <c r="V67"/>
      <c r="W67"/>
      <c r="X67"/>
      <c r="Y67"/>
      <c r="Z67"/>
      <c r="AA67"/>
      <c r="AB67"/>
      <c r="AC67"/>
      <c r="AD67"/>
      <c r="AE67"/>
      <c r="AF67"/>
      <c r="AG67"/>
      <c r="AH67"/>
      <c r="AI67"/>
      <c r="AJ67"/>
      <c r="AK67"/>
      <c r="AL67"/>
      <c r="AM67"/>
      <c r="AN67"/>
      <c r="AO67"/>
      <c r="AP67"/>
      <c r="AQ67"/>
      <c r="AR67"/>
      <c r="AS67"/>
      <c r="AT67"/>
      <c r="AU67"/>
      <c r="AV67"/>
      <c r="AW67"/>
      <c r="AX67"/>
      <c r="AY67"/>
      <c r="AZ67"/>
      <c r="BA67"/>
      <c r="BB67"/>
      <c r="BC67"/>
      <c r="BD67"/>
      <c r="BE67"/>
      <c r="BF67"/>
      <c r="BG67"/>
      <c r="BH67"/>
      <c r="BI67"/>
      <c r="BJ67"/>
      <c r="BK67"/>
      <c r="BL67"/>
      <c r="BM67"/>
      <c r="BN67"/>
      <c r="BO67"/>
      <c r="BP67"/>
      <c r="BQ67"/>
      <c r="BR67"/>
      <c r="BS67"/>
      <c r="BT67"/>
      <c r="BU67"/>
      <c r="BV67"/>
      <c r="BW67"/>
      <c r="BX67"/>
      <c r="BY67"/>
      <c r="BZ67"/>
      <c r="CA67"/>
      <c r="CB67"/>
      <c r="CC67"/>
      <c r="CD67"/>
      <c r="CE67"/>
      <c r="CF67"/>
      <c r="CG67"/>
      <c r="CH67"/>
      <c r="CI67"/>
      <c r="CJ67"/>
      <c r="CK67"/>
      <c r="CL67"/>
      <c r="CM67"/>
      <c r="CN67"/>
      <c r="CO67"/>
      <c r="CP67"/>
      <c r="CQ67"/>
      <c r="CR67"/>
      <c r="CS67"/>
      <c r="CT67"/>
      <c r="CU67"/>
      <c r="CV67"/>
      <c r="CW67"/>
      <c r="CX67"/>
      <c r="CY67"/>
      <c r="CZ67"/>
      <c r="DA67"/>
      <c r="DB67"/>
      <c r="DC67"/>
      <c r="DD67"/>
      <c r="DE67"/>
      <c r="DF67"/>
      <c r="DG67"/>
      <c r="DH67"/>
      <c r="DI67"/>
      <c r="DJ67"/>
      <c r="DK67"/>
      <c r="DL67"/>
      <c r="DM67"/>
      <c r="DN67"/>
      <c r="DO67"/>
      <c r="DP67"/>
      <c r="DQ67"/>
      <c r="DR67"/>
      <c r="DS67"/>
      <c r="DT67"/>
      <c r="DU67"/>
      <c r="DV67"/>
      <c r="DW67"/>
      <c r="DX67"/>
      <c r="DY67"/>
      <c r="DZ67"/>
      <c r="EA67"/>
      <c r="EB67"/>
      <c r="EC67"/>
      <c r="ED67"/>
      <c r="EE67"/>
      <c r="EF67"/>
      <c r="EG67"/>
      <c r="EH67"/>
      <c r="EI67"/>
      <c r="EJ67"/>
      <c r="EK67"/>
      <c r="EL67"/>
      <c r="EM67"/>
      <c r="EN67"/>
      <c r="EO67"/>
      <c r="EP67"/>
      <c r="EQ67"/>
      <c r="ER67"/>
      <c r="ES67"/>
      <c r="ET67"/>
      <c r="EU67"/>
      <c r="EV67"/>
      <c r="EW67"/>
      <c r="EX67"/>
      <c r="EY67"/>
      <c r="EZ67"/>
      <c r="FA67"/>
      <c r="FB67"/>
      <c r="FC67"/>
      <c r="FD67"/>
      <c r="FE67"/>
      <c r="FF67"/>
      <c r="FG67"/>
      <c r="FH67"/>
      <c r="FI67"/>
      <c r="FJ67"/>
      <c r="FK67"/>
      <c r="FL67"/>
      <c r="FM67"/>
      <c r="FN67"/>
      <c r="FO67"/>
      <c r="FP67"/>
      <c r="FQ67"/>
      <c r="FR67"/>
      <c r="FS67"/>
      <c r="FT67"/>
      <c r="FU67"/>
      <c r="FV67"/>
      <c r="FW67"/>
      <c r="FX67"/>
      <c r="FY67"/>
      <c r="FZ67"/>
      <c r="GA67"/>
      <c r="GB67"/>
      <c r="GC67"/>
      <c r="GD67"/>
      <c r="GE67"/>
      <c r="GF67"/>
      <c r="GG67"/>
      <c r="GH67"/>
      <c r="GI67"/>
      <c r="GJ67"/>
      <c r="GK67"/>
    </row>
    <row r="68" spans="1:193" ht="18" hidden="1" customHeight="1" x14ac:dyDescent="0.25">
      <c r="A68" s="8" t="s">
        <v>70</v>
      </c>
      <c r="B68" s="8">
        <v>33624</v>
      </c>
      <c r="C68" s="8">
        <v>168</v>
      </c>
      <c r="D68" s="8">
        <v>29801</v>
      </c>
      <c r="E68" s="8">
        <v>3655</v>
      </c>
      <c r="F68" s="8">
        <v>31133483</v>
      </c>
      <c r="G68" s="8" t="s">
        <v>197</v>
      </c>
      <c r="H68" s="1">
        <v>43902</v>
      </c>
      <c r="I68" s="14">
        <f t="shared" ref="I68:I131" si="3">C68/B68</f>
        <v>4.9964311206281229E-3</v>
      </c>
      <c r="J68" s="14">
        <f t="shared" ref="J68:J131" si="4">D68/B68</f>
        <v>0.88630145134427785</v>
      </c>
      <c r="K68" s="17">
        <f t="shared" ref="K68:K131" si="5">B68/F68</f>
        <v>1.0799948081620036E-3</v>
      </c>
      <c r="L68" s="8" t="str" cm="1">
        <f t="array" ref="L68">_xlfn.IFS(I68&gt;5%,"High Risk",AND(I68&gt;2%,I68&lt;5%),"Modrate Risk",I68&lt;2%, "Low Risk")</f>
        <v>Low Risk</v>
      </c>
      <c r="N68"/>
      <c r="O68"/>
      <c r="P68"/>
      <c r="Q68"/>
      <c r="R68"/>
      <c r="S68"/>
      <c r="T68"/>
      <c r="U68"/>
      <c r="V68"/>
      <c r="W68"/>
      <c r="X68"/>
      <c r="Y68"/>
      <c r="Z68"/>
      <c r="AA68"/>
      <c r="AB68"/>
      <c r="AC68"/>
      <c r="AD68"/>
      <c r="AE68"/>
      <c r="AF68"/>
      <c r="AG68"/>
      <c r="AH68"/>
      <c r="AI68"/>
      <c r="AJ68"/>
      <c r="AK68"/>
      <c r="AL68"/>
      <c r="AM68"/>
      <c r="AN68"/>
      <c r="AO68"/>
      <c r="AP68"/>
      <c r="AQ68"/>
      <c r="AR68"/>
      <c r="AS68"/>
      <c r="AT68"/>
      <c r="AU68"/>
      <c r="AV68"/>
      <c r="AW68"/>
      <c r="AX68"/>
      <c r="AY68"/>
      <c r="AZ68"/>
      <c r="BA68"/>
      <c r="BB68"/>
      <c r="BC68"/>
      <c r="BD68"/>
      <c r="BE68"/>
      <c r="BF68"/>
      <c r="BG68"/>
      <c r="BH68"/>
      <c r="BI68"/>
      <c r="BJ68"/>
      <c r="BK68"/>
      <c r="BL68"/>
      <c r="BM68"/>
      <c r="BN68"/>
      <c r="BO68"/>
      <c r="BP68"/>
      <c r="BQ68"/>
      <c r="BR68"/>
      <c r="BS68"/>
      <c r="BT68"/>
      <c r="BU68"/>
      <c r="BV68"/>
      <c r="BW68"/>
      <c r="BX68"/>
      <c r="BY68"/>
      <c r="BZ68"/>
      <c r="CA68"/>
      <c r="CB68"/>
      <c r="CC68"/>
      <c r="CD68"/>
      <c r="CE68"/>
      <c r="CF68"/>
      <c r="CG68"/>
      <c r="CH68"/>
      <c r="CI68"/>
      <c r="CJ68"/>
      <c r="CK68"/>
      <c r="CL68"/>
      <c r="CM68"/>
      <c r="CN68"/>
      <c r="CO68"/>
      <c r="CP68"/>
      <c r="CQ68"/>
      <c r="CR68"/>
      <c r="CS68"/>
      <c r="CT68"/>
      <c r="CU68"/>
      <c r="CV68"/>
      <c r="CW68"/>
      <c r="CX68"/>
      <c r="CY68"/>
      <c r="CZ68"/>
      <c r="DA68"/>
      <c r="DB68"/>
      <c r="DC68"/>
      <c r="DD68"/>
      <c r="DE68"/>
      <c r="DF68"/>
      <c r="DG68"/>
      <c r="DH68"/>
      <c r="DI68"/>
      <c r="DJ68"/>
      <c r="DK68"/>
      <c r="DL68"/>
      <c r="DM68"/>
      <c r="DN68"/>
      <c r="DO68"/>
      <c r="DP68"/>
      <c r="DQ68"/>
      <c r="DR68"/>
      <c r="DS68"/>
      <c r="DT68"/>
      <c r="DU68"/>
      <c r="DV68"/>
      <c r="DW68"/>
      <c r="DX68"/>
      <c r="DY68"/>
      <c r="DZ68"/>
      <c r="EA68"/>
      <c r="EB68"/>
      <c r="EC68"/>
      <c r="ED68"/>
      <c r="EE68"/>
      <c r="EF68"/>
      <c r="EG68"/>
      <c r="EH68"/>
      <c r="EI68"/>
      <c r="EJ68"/>
      <c r="EK68"/>
      <c r="EL68"/>
      <c r="EM68"/>
      <c r="EN68"/>
      <c r="EO68"/>
      <c r="EP68"/>
      <c r="EQ68"/>
      <c r="ER68"/>
      <c r="ES68"/>
      <c r="ET68"/>
      <c r="EU68"/>
      <c r="EV68"/>
      <c r="EW68"/>
      <c r="EX68"/>
      <c r="EY68"/>
      <c r="EZ68"/>
      <c r="FA68"/>
      <c r="FB68"/>
      <c r="FC68"/>
      <c r="FD68"/>
      <c r="FE68"/>
      <c r="FF68"/>
      <c r="FG68"/>
      <c r="FH68"/>
      <c r="FI68"/>
      <c r="FJ68"/>
      <c r="FK68"/>
      <c r="FL68"/>
      <c r="FM68"/>
      <c r="FN68"/>
      <c r="FO68"/>
      <c r="FP68"/>
      <c r="FQ68"/>
      <c r="FR68"/>
      <c r="FS68"/>
      <c r="FT68"/>
      <c r="FU68"/>
      <c r="FV68"/>
      <c r="FW68"/>
      <c r="FX68"/>
      <c r="FY68"/>
      <c r="FZ68"/>
      <c r="GA68"/>
      <c r="GB68"/>
      <c r="GC68"/>
      <c r="GD68"/>
      <c r="GE68"/>
      <c r="GF68"/>
      <c r="GG68"/>
      <c r="GH68"/>
      <c r="GI68"/>
      <c r="GJ68"/>
      <c r="GK68"/>
    </row>
    <row r="69" spans="1:193" ht="18" hidden="1" customHeight="1" x14ac:dyDescent="0.25">
      <c r="A69" s="9" t="s">
        <v>71</v>
      </c>
      <c r="B69" s="9">
        <v>4227</v>
      </c>
      <c r="C69" s="9">
        <v>202</v>
      </c>
      <c r="D69" s="9">
        <v>1374</v>
      </c>
      <c r="E69" s="9">
        <v>2651</v>
      </c>
      <c r="F69" s="9">
        <v>10417673</v>
      </c>
      <c r="G69" s="9" t="s">
        <v>196</v>
      </c>
      <c r="H69" s="10">
        <v>43887</v>
      </c>
      <c r="I69" s="15">
        <f t="shared" si="3"/>
        <v>4.7788029335225926E-2</v>
      </c>
      <c r="J69" s="15">
        <f t="shared" si="4"/>
        <v>0.32505322924059615</v>
      </c>
      <c r="K69" s="18">
        <f t="shared" si="5"/>
        <v>4.0575280103339776E-4</v>
      </c>
      <c r="L69" s="9" t="str" cm="1">
        <f t="array" ref="L69">_xlfn.IFS(I69&gt;5%,"High Risk",AND(I69&gt;2%,I69&lt;5%),"Modrate Risk",I69&lt;2%, "Low Risk")</f>
        <v>Modrate Risk</v>
      </c>
      <c r="N69"/>
      <c r="O69"/>
      <c r="P69"/>
      <c r="Q69"/>
      <c r="R69"/>
      <c r="S69"/>
      <c r="T69"/>
      <c r="U69"/>
      <c r="V69"/>
      <c r="W69"/>
      <c r="X69"/>
      <c r="Y69"/>
      <c r="Z69"/>
      <c r="AA69"/>
      <c r="AB69"/>
      <c r="AC69"/>
      <c r="AD69"/>
      <c r="AE69"/>
      <c r="AF69"/>
      <c r="AG69"/>
      <c r="AH69"/>
      <c r="AI69"/>
      <c r="AJ69"/>
      <c r="AK69"/>
      <c r="AL69"/>
      <c r="AM69"/>
      <c r="AN69"/>
      <c r="AO69"/>
      <c r="AP69"/>
      <c r="AQ69"/>
      <c r="AR69"/>
      <c r="AS69"/>
      <c r="AT69"/>
      <c r="AU69"/>
      <c r="AV69"/>
      <c r="AW69"/>
      <c r="AX69"/>
      <c r="AY69"/>
      <c r="AZ69"/>
      <c r="BA69"/>
      <c r="BB69"/>
      <c r="BC69"/>
      <c r="BD69"/>
      <c r="BE69"/>
      <c r="BF69"/>
      <c r="BG69"/>
      <c r="BH69"/>
      <c r="BI69"/>
      <c r="BJ69"/>
      <c r="BK69"/>
      <c r="BL69"/>
      <c r="BM69"/>
      <c r="BN69"/>
      <c r="BO69"/>
      <c r="BP69"/>
      <c r="BQ69"/>
      <c r="BR69"/>
      <c r="BS69"/>
      <c r="BT69"/>
      <c r="BU69"/>
      <c r="BV69"/>
      <c r="BW69"/>
      <c r="BX69"/>
      <c r="BY69"/>
      <c r="BZ69"/>
      <c r="CA69"/>
      <c r="CB69"/>
      <c r="CC69"/>
      <c r="CD69"/>
      <c r="CE69"/>
      <c r="CF69"/>
      <c r="CG69"/>
      <c r="CH69"/>
      <c r="CI69"/>
      <c r="CJ69"/>
      <c r="CK69"/>
      <c r="CL69"/>
      <c r="CM69"/>
      <c r="CN69"/>
      <c r="CO69"/>
      <c r="CP69"/>
      <c r="CQ69"/>
      <c r="CR69"/>
      <c r="CS69"/>
      <c r="CT69"/>
      <c r="CU69"/>
      <c r="CV69"/>
      <c r="CW69"/>
      <c r="CX69"/>
      <c r="CY69"/>
      <c r="CZ69"/>
      <c r="DA69"/>
      <c r="DB69"/>
      <c r="DC69"/>
      <c r="DD69"/>
      <c r="DE69"/>
      <c r="DF69"/>
      <c r="DG69"/>
      <c r="DH69"/>
      <c r="DI69"/>
      <c r="DJ69"/>
      <c r="DK69"/>
      <c r="DL69"/>
      <c r="DM69"/>
      <c r="DN69"/>
      <c r="DO69"/>
      <c r="DP69"/>
      <c r="DQ69"/>
      <c r="DR69"/>
      <c r="DS69"/>
      <c r="DT69"/>
      <c r="DU69"/>
      <c r="DV69"/>
      <c r="DW69"/>
      <c r="DX69"/>
      <c r="DY69"/>
      <c r="DZ69"/>
      <c r="EA69"/>
      <c r="EB69"/>
      <c r="EC69"/>
      <c r="ED69"/>
      <c r="EE69"/>
      <c r="EF69"/>
      <c r="EG69"/>
      <c r="EH69"/>
      <c r="EI69"/>
      <c r="EJ69"/>
      <c r="EK69"/>
      <c r="EL69"/>
      <c r="EM69"/>
      <c r="EN69"/>
      <c r="EO69"/>
      <c r="EP69"/>
      <c r="EQ69"/>
      <c r="ER69"/>
      <c r="ES69"/>
      <c r="ET69"/>
      <c r="EU69"/>
      <c r="EV69"/>
      <c r="EW69"/>
      <c r="EX69"/>
      <c r="EY69"/>
      <c r="EZ69"/>
      <c r="FA69"/>
      <c r="FB69"/>
      <c r="FC69"/>
      <c r="FD69"/>
      <c r="FE69"/>
      <c r="FF69"/>
      <c r="FG69"/>
      <c r="FH69"/>
      <c r="FI69"/>
      <c r="FJ69"/>
      <c r="FK69"/>
      <c r="FL69"/>
      <c r="FM69"/>
      <c r="FN69"/>
      <c r="FO69"/>
      <c r="FP69"/>
      <c r="FQ69"/>
      <c r="FR69"/>
      <c r="FS69"/>
      <c r="FT69"/>
      <c r="FU69"/>
      <c r="FV69"/>
      <c r="FW69"/>
      <c r="FX69"/>
      <c r="FY69"/>
      <c r="FZ69"/>
      <c r="GA69"/>
      <c r="GB69"/>
      <c r="GC69"/>
      <c r="GD69"/>
      <c r="GE69"/>
      <c r="GF69"/>
      <c r="GG69"/>
      <c r="GH69"/>
      <c r="GI69"/>
      <c r="GJ69"/>
      <c r="GK69"/>
    </row>
    <row r="70" spans="1:193" ht="18" hidden="1" customHeight="1" x14ac:dyDescent="0.25">
      <c r="A70" s="8" t="s">
        <v>72</v>
      </c>
      <c r="B70" s="8">
        <v>14</v>
      </c>
      <c r="C70" s="8">
        <v>0</v>
      </c>
      <c r="D70" s="8">
        <v>13</v>
      </c>
      <c r="E70" s="8">
        <v>1</v>
      </c>
      <c r="F70" s="8">
        <v>56780</v>
      </c>
      <c r="G70" s="8" t="s">
        <v>198</v>
      </c>
      <c r="H70" s="1">
        <v>43898</v>
      </c>
      <c r="I70" s="14">
        <f t="shared" si="3"/>
        <v>0</v>
      </c>
      <c r="J70" s="14">
        <f t="shared" si="4"/>
        <v>0.9285714285714286</v>
      </c>
      <c r="K70" s="17">
        <f t="shared" si="5"/>
        <v>2.4656569214512151E-4</v>
      </c>
      <c r="L70" s="8" t="str" cm="1">
        <f t="array" ref="L70">_xlfn.IFS(I70&gt;5%,"High Risk",AND(I70&gt;2%,I70&lt;5%),"Modrate Risk",I70&lt;2%, "Low Risk")</f>
        <v>Low Risk</v>
      </c>
      <c r="N70"/>
      <c r="O70"/>
      <c r="P70"/>
      <c r="Q70"/>
      <c r="R70"/>
      <c r="S70"/>
      <c r="T70"/>
      <c r="U70"/>
      <c r="V70"/>
      <c r="W70"/>
      <c r="X70"/>
      <c r="Y70"/>
      <c r="Z70"/>
      <c r="AA70"/>
      <c r="AB70"/>
      <c r="AC70"/>
      <c r="AD70"/>
      <c r="AE70"/>
      <c r="AF70"/>
      <c r="AG70"/>
      <c r="AH70"/>
      <c r="AI70"/>
      <c r="AJ70"/>
      <c r="AK70"/>
      <c r="AL70"/>
      <c r="AM70"/>
      <c r="AN70"/>
      <c r="AO70"/>
      <c r="AP70"/>
      <c r="AQ70"/>
      <c r="AR70"/>
      <c r="AS70"/>
      <c r="AT70"/>
      <c r="AU70"/>
      <c r="AV70"/>
      <c r="AW70"/>
      <c r="AX70"/>
      <c r="AY70"/>
      <c r="AZ70"/>
      <c r="BA70"/>
      <c r="BB70"/>
      <c r="BC70"/>
      <c r="BD70"/>
      <c r="BE70"/>
      <c r="BF70"/>
      <c r="BG70"/>
      <c r="BH70"/>
      <c r="BI70"/>
      <c r="BJ70"/>
      <c r="BK70"/>
      <c r="BL70"/>
      <c r="BM70"/>
      <c r="BN70"/>
      <c r="BO70"/>
      <c r="BP70"/>
      <c r="BQ70"/>
      <c r="BR70"/>
      <c r="BS70"/>
      <c r="BT70"/>
      <c r="BU70"/>
      <c r="BV70"/>
      <c r="BW70"/>
      <c r="BX70"/>
      <c r="BY70"/>
      <c r="BZ70"/>
      <c r="CA70"/>
      <c r="CB70"/>
      <c r="CC70"/>
      <c r="CD70"/>
      <c r="CE70"/>
      <c r="CF70"/>
      <c r="CG70"/>
      <c r="CH70"/>
      <c r="CI70"/>
      <c r="CJ70"/>
      <c r="CK70"/>
      <c r="CL70"/>
      <c r="CM70"/>
      <c r="CN70"/>
      <c r="CO70"/>
      <c r="CP70"/>
      <c r="CQ70"/>
      <c r="CR70"/>
      <c r="CS70"/>
      <c r="CT70"/>
      <c r="CU70"/>
      <c r="CV70"/>
      <c r="CW70"/>
      <c r="CX70"/>
      <c r="CY70"/>
      <c r="CZ70"/>
      <c r="DA70"/>
      <c r="DB70"/>
      <c r="DC70"/>
      <c r="DD70"/>
      <c r="DE70"/>
      <c r="DF70"/>
      <c r="DG70"/>
      <c r="DH70"/>
      <c r="DI70"/>
      <c r="DJ70"/>
      <c r="DK70"/>
      <c r="DL70"/>
      <c r="DM70"/>
      <c r="DN70"/>
      <c r="DO70"/>
      <c r="DP70"/>
      <c r="DQ70"/>
      <c r="DR70"/>
      <c r="DS70"/>
      <c r="DT70"/>
      <c r="DU70"/>
      <c r="DV70"/>
      <c r="DW70"/>
      <c r="DX70"/>
      <c r="DY70"/>
      <c r="DZ70"/>
      <c r="EA70"/>
      <c r="EB70"/>
      <c r="EC70"/>
      <c r="ED70"/>
      <c r="EE70"/>
      <c r="EF70"/>
      <c r="EG70"/>
      <c r="EH70"/>
      <c r="EI70"/>
      <c r="EJ70"/>
      <c r="EK70"/>
      <c r="EL70"/>
      <c r="EM70"/>
      <c r="EN70"/>
      <c r="EO70"/>
      <c r="EP70"/>
      <c r="EQ70"/>
      <c r="ER70"/>
      <c r="ES70"/>
      <c r="ET70"/>
      <c r="EU70"/>
      <c r="EV70"/>
      <c r="EW70"/>
      <c r="EX70"/>
      <c r="EY70"/>
      <c r="EZ70"/>
      <c r="FA70"/>
      <c r="FB70"/>
      <c r="FC70"/>
      <c r="FD70"/>
      <c r="FE70"/>
      <c r="FF70"/>
      <c r="FG70"/>
      <c r="FH70"/>
      <c r="FI70"/>
      <c r="FJ70"/>
      <c r="FK70"/>
      <c r="FL70"/>
      <c r="FM70"/>
      <c r="FN70"/>
      <c r="FO70"/>
      <c r="FP70"/>
      <c r="FQ70"/>
      <c r="FR70"/>
      <c r="FS70"/>
      <c r="FT70"/>
      <c r="FU70"/>
      <c r="FV70"/>
      <c r="FW70"/>
      <c r="FX70"/>
      <c r="FY70"/>
      <c r="FZ70"/>
      <c r="GA70"/>
      <c r="GB70"/>
      <c r="GC70"/>
      <c r="GD70"/>
      <c r="GE70"/>
      <c r="GF70"/>
      <c r="GG70"/>
      <c r="GH70"/>
      <c r="GI70"/>
      <c r="GJ70"/>
      <c r="GK70"/>
    </row>
    <row r="71" spans="1:193" ht="18" hidden="1" customHeight="1" x14ac:dyDescent="0.25">
      <c r="A71" s="9" t="s">
        <v>73</v>
      </c>
      <c r="B71" s="9">
        <v>23</v>
      </c>
      <c r="C71" s="9">
        <v>0</v>
      </c>
      <c r="D71" s="9">
        <v>23</v>
      </c>
      <c r="E71" s="9">
        <v>0</v>
      </c>
      <c r="F71" s="9">
        <v>112576</v>
      </c>
      <c r="G71" s="9" t="s">
        <v>198</v>
      </c>
      <c r="H71" s="10">
        <v>43912</v>
      </c>
      <c r="I71" s="15">
        <f t="shared" si="3"/>
        <v>0</v>
      </c>
      <c r="J71" s="15">
        <f t="shared" si="4"/>
        <v>1</v>
      </c>
      <c r="K71" s="18">
        <f t="shared" si="5"/>
        <v>2.0430642410460489E-4</v>
      </c>
      <c r="L71" s="9" t="str" cm="1">
        <f t="array" ref="L71">_xlfn.IFS(I71&gt;5%,"High Risk",AND(I71&gt;2%,I71&lt;5%),"Modrate Risk",I71&lt;2%, "Low Risk")</f>
        <v>Low Risk</v>
      </c>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c r="DE71"/>
      <c r="DF71"/>
      <c r="DG71"/>
      <c r="DH71"/>
      <c r="DI71"/>
      <c r="DJ71"/>
      <c r="DK71"/>
      <c r="DL71"/>
      <c r="DM71"/>
      <c r="DN71"/>
      <c r="DO71"/>
      <c r="DP71"/>
      <c r="DQ71"/>
      <c r="DR71"/>
      <c r="DS71"/>
      <c r="DT71"/>
      <c r="DU71"/>
      <c r="DV71"/>
      <c r="DW71"/>
      <c r="DX71"/>
      <c r="DY71"/>
      <c r="DZ71"/>
      <c r="EA71"/>
      <c r="EB71"/>
      <c r="EC71"/>
      <c r="ED71"/>
      <c r="EE71"/>
      <c r="EF71"/>
      <c r="EG71"/>
      <c r="EH71"/>
      <c r="EI71"/>
      <c r="EJ71"/>
      <c r="EK71"/>
      <c r="EL71"/>
      <c r="EM71"/>
      <c r="EN71"/>
      <c r="EO71"/>
      <c r="EP71"/>
      <c r="EQ71"/>
      <c r="ER71"/>
      <c r="ES71"/>
      <c r="ET71"/>
      <c r="EU71"/>
      <c r="EV71"/>
      <c r="EW71"/>
      <c r="EX71"/>
      <c r="EY71"/>
      <c r="EZ71"/>
      <c r="FA71"/>
      <c r="FB71"/>
      <c r="FC71"/>
      <c r="FD71"/>
      <c r="FE71"/>
      <c r="FF71"/>
      <c r="FG71"/>
      <c r="FH71"/>
      <c r="FI71"/>
      <c r="FJ71"/>
      <c r="FK71"/>
      <c r="FL71"/>
      <c r="FM71"/>
      <c r="FN71"/>
      <c r="FO71"/>
      <c r="FP71"/>
      <c r="FQ71"/>
      <c r="FR71"/>
      <c r="FS71"/>
      <c r="FT71"/>
      <c r="FU71"/>
      <c r="FV71"/>
      <c r="FW71"/>
      <c r="FX71"/>
      <c r="FY71"/>
      <c r="FZ71"/>
      <c r="GA71"/>
      <c r="GB71"/>
      <c r="GC71"/>
      <c r="GD71"/>
      <c r="GE71"/>
      <c r="GF71"/>
      <c r="GG71"/>
      <c r="GH71"/>
      <c r="GI71"/>
      <c r="GJ71"/>
      <c r="GK71"/>
    </row>
    <row r="72" spans="1:193" ht="18" hidden="1" customHeight="1" x14ac:dyDescent="0.25">
      <c r="A72" s="8" t="s">
        <v>74</v>
      </c>
      <c r="B72" s="8">
        <v>45309</v>
      </c>
      <c r="C72" s="8">
        <v>1761</v>
      </c>
      <c r="D72" s="8">
        <v>32455</v>
      </c>
      <c r="E72" s="8">
        <v>11093</v>
      </c>
      <c r="F72" s="8">
        <v>17946899</v>
      </c>
      <c r="G72" s="8" t="s">
        <v>198</v>
      </c>
      <c r="H72" s="1">
        <v>43903</v>
      </c>
      <c r="I72" s="14">
        <f t="shared" si="3"/>
        <v>3.8866450374097861E-2</v>
      </c>
      <c r="J72" s="14">
        <f t="shared" si="4"/>
        <v>0.71630360414045779</v>
      </c>
      <c r="K72" s="17">
        <f t="shared" si="5"/>
        <v>2.5246144194604318E-3</v>
      </c>
      <c r="L72" s="8" t="str" cm="1">
        <f t="array" ref="L72">_xlfn.IFS(I72&gt;5%,"High Risk",AND(I72&gt;2%,I72&lt;5%),"Modrate Risk",I72&lt;2%, "Low Risk")</f>
        <v>Modrate Risk</v>
      </c>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c r="DE72"/>
      <c r="DF72"/>
      <c r="DG72"/>
      <c r="DH72"/>
      <c r="DI72"/>
      <c r="DJ72"/>
      <c r="DK72"/>
      <c r="DL72"/>
      <c r="DM72"/>
      <c r="DN72"/>
      <c r="DO72"/>
      <c r="DP72"/>
      <c r="DQ72"/>
      <c r="DR72"/>
      <c r="DS72"/>
      <c r="DT72"/>
      <c r="DU72"/>
      <c r="DV72"/>
      <c r="DW72"/>
      <c r="DX72"/>
      <c r="DY72"/>
      <c r="DZ72"/>
      <c r="EA72"/>
      <c r="EB72"/>
      <c r="EC72"/>
      <c r="ED72"/>
      <c r="EE72"/>
      <c r="EF72"/>
      <c r="EG72"/>
      <c r="EH72"/>
      <c r="EI72"/>
      <c r="EJ72"/>
      <c r="EK72"/>
      <c r="EL72"/>
      <c r="EM72"/>
      <c r="EN72"/>
      <c r="EO72"/>
      <c r="EP72"/>
      <c r="EQ72"/>
      <c r="ER72"/>
      <c r="ES72"/>
      <c r="ET72"/>
      <c r="EU72"/>
      <c r="EV72"/>
      <c r="EW72"/>
      <c r="EX72"/>
      <c r="EY72"/>
      <c r="EZ72"/>
      <c r="FA72"/>
      <c r="FB72"/>
      <c r="FC72"/>
      <c r="FD72"/>
      <c r="FE72"/>
      <c r="FF72"/>
      <c r="FG72"/>
      <c r="FH72"/>
      <c r="FI72"/>
      <c r="FJ72"/>
      <c r="FK72"/>
      <c r="FL72"/>
      <c r="FM72"/>
      <c r="FN72"/>
      <c r="FO72"/>
      <c r="FP72"/>
      <c r="FQ72"/>
      <c r="FR72"/>
      <c r="FS72"/>
      <c r="FT72"/>
      <c r="FU72"/>
      <c r="FV72"/>
      <c r="FW72"/>
      <c r="FX72"/>
      <c r="FY72"/>
      <c r="FZ72"/>
      <c r="GA72"/>
      <c r="GB72"/>
      <c r="GC72"/>
      <c r="GD72"/>
      <c r="GE72"/>
      <c r="GF72"/>
      <c r="GG72"/>
      <c r="GH72"/>
      <c r="GI72"/>
      <c r="GJ72"/>
      <c r="GK72"/>
    </row>
    <row r="73" spans="1:193" ht="18" hidden="1" customHeight="1" x14ac:dyDescent="0.25">
      <c r="A73" s="9" t="s">
        <v>75</v>
      </c>
      <c r="B73" s="9">
        <v>7055</v>
      </c>
      <c r="C73" s="9">
        <v>45</v>
      </c>
      <c r="D73" s="9">
        <v>6257</v>
      </c>
      <c r="E73" s="9">
        <v>753</v>
      </c>
      <c r="F73" s="9">
        <v>13164905</v>
      </c>
      <c r="G73" s="9" t="s">
        <v>197</v>
      </c>
      <c r="H73" s="10">
        <v>43903</v>
      </c>
      <c r="I73" s="15">
        <f t="shared" si="3"/>
        <v>6.3784549964564135E-3</v>
      </c>
      <c r="J73" s="15">
        <f t="shared" si="4"/>
        <v>0.88688873139617297</v>
      </c>
      <c r="K73" s="18">
        <f t="shared" si="5"/>
        <v>5.3589448613567661E-4</v>
      </c>
      <c r="L73" s="9" t="str" cm="1">
        <f t="array" ref="L73">_xlfn.IFS(I73&gt;5%,"High Risk",AND(I73&gt;2%,I73&lt;5%),"Modrate Risk",I73&lt;2%, "Low Risk")</f>
        <v>Low Risk</v>
      </c>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c r="DE73"/>
      <c r="DF73"/>
      <c r="DG73"/>
      <c r="DH73"/>
      <c r="DI73"/>
      <c r="DJ73"/>
      <c r="DK73"/>
      <c r="DL73"/>
      <c r="DM73"/>
      <c r="DN73"/>
      <c r="DO73"/>
      <c r="DP73"/>
      <c r="DQ73"/>
      <c r="DR73"/>
      <c r="DS73"/>
      <c r="DT73"/>
      <c r="DU73"/>
      <c r="DV73"/>
      <c r="DW73"/>
      <c r="DX73"/>
      <c r="DY73"/>
      <c r="DZ73"/>
      <c r="EA73"/>
      <c r="EB73"/>
      <c r="EC73"/>
      <c r="ED73"/>
      <c r="EE73"/>
      <c r="EF73"/>
      <c r="EG73"/>
      <c r="EH73"/>
      <c r="EI73"/>
      <c r="EJ73"/>
      <c r="EK73"/>
      <c r="EL73"/>
      <c r="EM73"/>
      <c r="EN73"/>
      <c r="EO73"/>
      <c r="EP73"/>
      <c r="EQ73"/>
      <c r="ER73"/>
      <c r="ES73"/>
      <c r="ET73"/>
      <c r="EU73"/>
      <c r="EV73"/>
      <c r="EW73"/>
      <c r="EX73"/>
      <c r="EY73"/>
      <c r="EZ73"/>
      <c r="FA73"/>
      <c r="FB73"/>
      <c r="FC73"/>
      <c r="FD73"/>
      <c r="FE73"/>
      <c r="FF73"/>
      <c r="FG73"/>
      <c r="FH73"/>
      <c r="FI73"/>
      <c r="FJ73"/>
      <c r="FK73"/>
      <c r="FL73"/>
      <c r="FM73"/>
      <c r="FN73"/>
      <c r="FO73"/>
      <c r="FP73"/>
      <c r="FQ73"/>
      <c r="FR73"/>
      <c r="FS73"/>
      <c r="FT73"/>
      <c r="FU73"/>
      <c r="FV73"/>
      <c r="FW73"/>
      <c r="FX73"/>
      <c r="FY73"/>
      <c r="FZ73"/>
      <c r="GA73"/>
      <c r="GB73"/>
      <c r="GC73"/>
      <c r="GD73"/>
      <c r="GE73"/>
      <c r="GF73"/>
      <c r="GG73"/>
      <c r="GH73"/>
      <c r="GI73"/>
      <c r="GJ73"/>
      <c r="GK73"/>
    </row>
    <row r="74" spans="1:193" ht="18" hidden="1" customHeight="1" x14ac:dyDescent="0.25">
      <c r="A74" s="8" t="s">
        <v>76</v>
      </c>
      <c r="B74" s="8">
        <v>1954</v>
      </c>
      <c r="C74" s="8">
        <v>26</v>
      </c>
      <c r="D74" s="8">
        <v>803</v>
      </c>
      <c r="E74" s="8">
        <v>1125</v>
      </c>
      <c r="F74" s="8">
        <v>1972277</v>
      </c>
      <c r="G74" s="8" t="s">
        <v>197</v>
      </c>
      <c r="H74" s="1">
        <v>43915</v>
      </c>
      <c r="I74" s="14">
        <f t="shared" si="3"/>
        <v>1.3306038894575231E-2</v>
      </c>
      <c r="J74" s="14">
        <f t="shared" si="4"/>
        <v>0.41095189355168882</v>
      </c>
      <c r="K74" s="17">
        <f t="shared" si="5"/>
        <v>9.907330461187754E-4</v>
      </c>
      <c r="L74" s="8" t="str" cm="1">
        <f t="array" ref="L74">_xlfn.IFS(I74&gt;5%,"High Risk",AND(I74&gt;2%,I74&lt;5%),"Modrate Risk",I74&lt;2%, "Low Risk")</f>
        <v>Low Risk</v>
      </c>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c r="DE74"/>
      <c r="DF74"/>
      <c r="DG74"/>
      <c r="DH74"/>
      <c r="DI74"/>
      <c r="DJ74"/>
      <c r="DK74"/>
      <c r="DL74"/>
      <c r="DM74"/>
      <c r="DN74"/>
      <c r="DO74"/>
      <c r="DP74"/>
      <c r="DQ74"/>
      <c r="DR74"/>
      <c r="DS74"/>
      <c r="DT74"/>
      <c r="DU74"/>
      <c r="DV74"/>
      <c r="DW74"/>
      <c r="DX74"/>
      <c r="DY74"/>
      <c r="DZ74"/>
      <c r="EA74"/>
      <c r="EB74"/>
      <c r="EC74"/>
      <c r="ED74"/>
      <c r="EE74"/>
      <c r="EF74"/>
      <c r="EG74"/>
      <c r="EH74"/>
      <c r="EI74"/>
      <c r="EJ74"/>
      <c r="EK74"/>
      <c r="EL74"/>
      <c r="EM74"/>
      <c r="EN74"/>
      <c r="EO74"/>
      <c r="EP74"/>
      <c r="EQ74"/>
      <c r="ER74"/>
      <c r="ES74"/>
      <c r="ET74"/>
      <c r="EU74"/>
      <c r="EV74"/>
      <c r="EW74"/>
      <c r="EX74"/>
      <c r="EY74"/>
      <c r="EZ74"/>
      <c r="FA74"/>
      <c r="FB74"/>
      <c r="FC74"/>
      <c r="FD74"/>
      <c r="FE74"/>
      <c r="FF74"/>
      <c r="FG74"/>
      <c r="FH74"/>
      <c r="FI74"/>
      <c r="FJ74"/>
      <c r="FK74"/>
      <c r="FL74"/>
      <c r="FM74"/>
      <c r="FN74"/>
      <c r="FO74"/>
      <c r="FP74"/>
      <c r="FQ74"/>
      <c r="FR74"/>
      <c r="FS74"/>
      <c r="FT74"/>
      <c r="FU74"/>
      <c r="FV74"/>
      <c r="FW74"/>
      <c r="FX74"/>
      <c r="FY74"/>
      <c r="FZ74"/>
      <c r="GA74"/>
      <c r="GB74"/>
      <c r="GC74"/>
      <c r="GD74"/>
      <c r="GE74"/>
      <c r="GF74"/>
      <c r="GG74"/>
      <c r="GH74"/>
      <c r="GI74"/>
      <c r="GJ74"/>
      <c r="GK74"/>
    </row>
    <row r="75" spans="1:193" ht="18" hidden="1" customHeight="1" x14ac:dyDescent="0.25">
      <c r="A75" s="9" t="s">
        <v>77</v>
      </c>
      <c r="B75" s="9">
        <v>389</v>
      </c>
      <c r="C75" s="9">
        <v>20</v>
      </c>
      <c r="D75" s="9">
        <v>181</v>
      </c>
      <c r="E75" s="9">
        <v>188</v>
      </c>
      <c r="F75" s="9">
        <v>786936</v>
      </c>
      <c r="G75" s="9" t="s">
        <v>199</v>
      </c>
      <c r="H75" s="10">
        <v>43902</v>
      </c>
      <c r="I75" s="15">
        <f t="shared" si="3"/>
        <v>5.1413881748071981E-2</v>
      </c>
      <c r="J75" s="15">
        <f t="shared" si="4"/>
        <v>0.4652956298200514</v>
      </c>
      <c r="K75" s="18">
        <f t="shared" si="5"/>
        <v>4.943222828794209E-4</v>
      </c>
      <c r="L75" s="9" t="str" cm="1">
        <f t="array" ref="L75">_xlfn.IFS(I75&gt;5%,"High Risk",AND(I75&gt;2%,I75&lt;5%),"Modrate Risk",I75&lt;2%, "Low Risk")</f>
        <v>High Risk</v>
      </c>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c r="DE75"/>
      <c r="DF75"/>
      <c r="DG75"/>
      <c r="DH75"/>
      <c r="DI75"/>
      <c r="DJ75"/>
      <c r="DK75"/>
      <c r="DL75"/>
      <c r="DM75"/>
      <c r="DN75"/>
      <c r="DO75"/>
      <c r="DP75"/>
      <c r="DQ75"/>
      <c r="DR75"/>
      <c r="DS75"/>
      <c r="DT75"/>
      <c r="DU75"/>
      <c r="DV75"/>
      <c r="DW75"/>
      <c r="DX75"/>
      <c r="DY75"/>
      <c r="DZ75"/>
      <c r="EA75"/>
      <c r="EB75"/>
      <c r="EC75"/>
      <c r="ED75"/>
      <c r="EE75"/>
      <c r="EF75"/>
      <c r="EG75"/>
      <c r="EH75"/>
      <c r="EI75"/>
      <c r="EJ75"/>
      <c r="EK75"/>
      <c r="EL75"/>
      <c r="EM75"/>
      <c r="EN75"/>
      <c r="EO75"/>
      <c r="EP75"/>
      <c r="EQ75"/>
      <c r="ER75"/>
      <c r="ES75"/>
      <c r="ET75"/>
      <c r="EU75"/>
      <c r="EV75"/>
      <c r="EW75"/>
      <c r="EX75"/>
      <c r="EY75"/>
      <c r="EZ75"/>
      <c r="FA75"/>
      <c r="FB75"/>
      <c r="FC75"/>
      <c r="FD75"/>
      <c r="FE75"/>
      <c r="FF75"/>
      <c r="FG75"/>
      <c r="FH75"/>
      <c r="FI75"/>
      <c r="FJ75"/>
      <c r="FK75"/>
      <c r="FL75"/>
      <c r="FM75"/>
      <c r="FN75"/>
      <c r="FO75"/>
      <c r="FP75"/>
      <c r="FQ75"/>
      <c r="FR75"/>
      <c r="FS75"/>
      <c r="FT75"/>
      <c r="FU75"/>
      <c r="FV75"/>
      <c r="FW75"/>
      <c r="FX75"/>
      <c r="FY75"/>
      <c r="FZ75"/>
      <c r="GA75"/>
      <c r="GB75"/>
      <c r="GC75"/>
      <c r="GD75"/>
      <c r="GE75"/>
      <c r="GF75"/>
      <c r="GG75"/>
      <c r="GH75"/>
      <c r="GI75"/>
      <c r="GJ75"/>
      <c r="GK75"/>
    </row>
    <row r="76" spans="1:193" ht="18" hidden="1" customHeight="1" x14ac:dyDescent="0.25">
      <c r="A76" s="8" t="s">
        <v>78</v>
      </c>
      <c r="B76" s="8">
        <v>7340</v>
      </c>
      <c r="C76" s="8">
        <v>158</v>
      </c>
      <c r="D76" s="8">
        <v>4365</v>
      </c>
      <c r="E76" s="8">
        <v>2817</v>
      </c>
      <c r="F76" s="8">
        <v>11416103</v>
      </c>
      <c r="G76" s="8" t="s">
        <v>198</v>
      </c>
      <c r="H76" s="1">
        <v>43909</v>
      </c>
      <c r="I76" s="14">
        <f t="shared" si="3"/>
        <v>2.1525885558583105E-2</v>
      </c>
      <c r="J76" s="14">
        <f t="shared" si="4"/>
        <v>0.59468664850136244</v>
      </c>
      <c r="K76" s="17">
        <f t="shared" si="5"/>
        <v>6.4295145199723587E-4</v>
      </c>
      <c r="L76" s="8" t="str" cm="1">
        <f t="array" ref="L76">_xlfn.IFS(I76&gt;5%,"High Risk",AND(I76&gt;2%,I76&lt;5%),"Modrate Risk",I76&lt;2%, "Low Risk")</f>
        <v>Modrate Risk</v>
      </c>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c r="DE76"/>
      <c r="DF76"/>
      <c r="DG76"/>
      <c r="DH76"/>
      <c r="DI76"/>
      <c r="DJ76"/>
      <c r="DK76"/>
      <c r="DL76"/>
      <c r="DM76"/>
      <c r="DN76"/>
      <c r="DO76"/>
      <c r="DP76"/>
      <c r="DQ76"/>
      <c r="DR76"/>
      <c r="DS76"/>
      <c r="DT76"/>
      <c r="DU76"/>
      <c r="DV76"/>
      <c r="DW76"/>
      <c r="DX76"/>
      <c r="DY76"/>
      <c r="DZ76"/>
      <c r="EA76"/>
      <c r="EB76"/>
      <c r="EC76"/>
      <c r="ED76"/>
      <c r="EE76"/>
      <c r="EF76"/>
      <c r="EG76"/>
      <c r="EH76"/>
      <c r="EI76"/>
      <c r="EJ76"/>
      <c r="EK76"/>
      <c r="EL76"/>
      <c r="EM76"/>
      <c r="EN76"/>
      <c r="EO76"/>
      <c r="EP76"/>
      <c r="EQ76"/>
      <c r="ER76"/>
      <c r="ES76"/>
      <c r="ET76"/>
      <c r="EU76"/>
      <c r="EV76"/>
      <c r="EW76"/>
      <c r="EX76"/>
      <c r="EY76"/>
      <c r="EZ76"/>
      <c r="FA76"/>
      <c r="FB76"/>
      <c r="FC76"/>
      <c r="FD76"/>
      <c r="FE76"/>
      <c r="FF76"/>
      <c r="FG76"/>
      <c r="FH76"/>
      <c r="FI76"/>
      <c r="FJ76"/>
      <c r="FK76"/>
      <c r="FL76"/>
      <c r="FM76"/>
      <c r="FN76"/>
      <c r="FO76"/>
      <c r="FP76"/>
      <c r="FQ76"/>
      <c r="FR76"/>
      <c r="FS76"/>
      <c r="FT76"/>
      <c r="FU76"/>
      <c r="FV76"/>
      <c r="FW76"/>
      <c r="FX76"/>
      <c r="FY76"/>
      <c r="FZ76"/>
      <c r="GA76"/>
      <c r="GB76"/>
      <c r="GC76"/>
      <c r="GD76"/>
      <c r="GE76"/>
      <c r="GF76"/>
      <c r="GG76"/>
      <c r="GH76"/>
      <c r="GI76"/>
      <c r="GJ76"/>
      <c r="GK76"/>
    </row>
    <row r="77" spans="1:193" ht="18" hidden="1" customHeight="1" x14ac:dyDescent="0.25">
      <c r="A77" s="9" t="s">
        <v>79</v>
      </c>
      <c r="B77" s="9">
        <v>12</v>
      </c>
      <c r="C77" s="9">
        <v>0</v>
      </c>
      <c r="D77" s="9">
        <v>12</v>
      </c>
      <c r="E77" s="9">
        <v>0</v>
      </c>
      <c r="F77" s="12">
        <v>528</v>
      </c>
      <c r="G77" s="9" t="s">
        <v>196</v>
      </c>
      <c r="H77" s="10">
        <v>43912</v>
      </c>
      <c r="I77" s="15">
        <f t="shared" si="3"/>
        <v>0</v>
      </c>
      <c r="J77" s="15">
        <f t="shared" si="4"/>
        <v>1</v>
      </c>
      <c r="K77" s="18">
        <f t="shared" si="5"/>
        <v>2.2727272727272728E-2</v>
      </c>
      <c r="L77" s="9" t="str" cm="1">
        <f t="array" ref="L77">_xlfn.IFS(I77&gt;5%,"High Risk",AND(I77&gt;2%,I77&lt;5%),"Modrate Risk",I77&lt;2%, "Low Risk")</f>
        <v>Low Risk</v>
      </c>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c r="DE77"/>
      <c r="DF77"/>
      <c r="DG77"/>
      <c r="DH77"/>
      <c r="DI77"/>
      <c r="DJ77"/>
      <c r="DK77"/>
      <c r="DL77"/>
      <c r="DM77"/>
      <c r="DN77"/>
      <c r="DO77"/>
      <c r="DP77"/>
      <c r="DQ77"/>
      <c r="DR77"/>
      <c r="DS77"/>
      <c r="DT77"/>
      <c r="DU77"/>
      <c r="DV77"/>
      <c r="DW77"/>
      <c r="DX77"/>
      <c r="DY77"/>
      <c r="DZ77"/>
      <c r="EA77"/>
      <c r="EB77"/>
      <c r="EC77"/>
      <c r="ED77"/>
      <c r="EE77"/>
      <c r="EF77"/>
      <c r="EG77"/>
      <c r="EH77"/>
      <c r="EI77"/>
      <c r="EJ77"/>
      <c r="EK77"/>
      <c r="EL77"/>
      <c r="EM77"/>
      <c r="EN77"/>
      <c r="EO77"/>
      <c r="EP77"/>
      <c r="EQ77"/>
      <c r="ER77"/>
      <c r="ES77"/>
      <c r="ET77"/>
      <c r="EU77"/>
      <c r="EV77"/>
      <c r="EW77"/>
      <c r="EX77"/>
      <c r="EY77"/>
      <c r="EZ77"/>
      <c r="FA77"/>
      <c r="FB77"/>
      <c r="FC77"/>
      <c r="FD77"/>
      <c r="FE77"/>
      <c r="FF77"/>
      <c r="FG77"/>
      <c r="FH77"/>
      <c r="FI77"/>
      <c r="FJ77"/>
      <c r="FK77"/>
      <c r="FL77"/>
      <c r="FM77"/>
      <c r="FN77"/>
      <c r="FO77"/>
      <c r="FP77"/>
      <c r="FQ77"/>
      <c r="FR77"/>
      <c r="FS77"/>
      <c r="FT77"/>
      <c r="FU77"/>
      <c r="FV77"/>
      <c r="FW77"/>
      <c r="FX77"/>
      <c r="FY77"/>
      <c r="FZ77"/>
      <c r="GA77"/>
      <c r="GB77"/>
      <c r="GC77"/>
      <c r="GD77"/>
      <c r="GE77"/>
      <c r="GF77"/>
      <c r="GG77"/>
      <c r="GH77"/>
      <c r="GI77"/>
      <c r="GJ77"/>
      <c r="GK77"/>
    </row>
    <row r="78" spans="1:193" ht="18" hidden="1" customHeight="1" x14ac:dyDescent="0.25">
      <c r="A78" s="8" t="s">
        <v>80</v>
      </c>
      <c r="B78" s="8">
        <v>39741</v>
      </c>
      <c r="C78" s="8">
        <v>1166</v>
      </c>
      <c r="D78" s="8">
        <v>5039</v>
      </c>
      <c r="E78" s="8">
        <v>33536</v>
      </c>
      <c r="F78" s="11">
        <v>10012084</v>
      </c>
      <c r="G78" s="8" t="s">
        <v>198</v>
      </c>
      <c r="H78" s="1">
        <v>43907</v>
      </c>
      <c r="I78" s="14">
        <f t="shared" si="3"/>
        <v>2.9339976346845827E-2</v>
      </c>
      <c r="J78" s="14">
        <f t="shared" si="4"/>
        <v>0.12679600412672051</v>
      </c>
      <c r="K78" s="17">
        <f t="shared" si="5"/>
        <v>3.9693034936582631E-3</v>
      </c>
      <c r="L78" s="8" t="str" cm="1">
        <f t="array" ref="L78">_xlfn.IFS(I78&gt;5%,"High Risk",AND(I78&gt;2%,I78&lt;5%),"Modrate Risk",I78&lt;2%, "Low Risk")</f>
        <v>Modrate Risk</v>
      </c>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c r="DE78"/>
      <c r="DF78"/>
      <c r="DG78"/>
      <c r="DH78"/>
      <c r="DI78"/>
      <c r="DJ78"/>
      <c r="DK78"/>
      <c r="DL78"/>
      <c r="DM78"/>
      <c r="DN78"/>
      <c r="DO78"/>
      <c r="DP78"/>
      <c r="DQ78"/>
      <c r="DR78"/>
      <c r="DS78"/>
      <c r="DT78"/>
      <c r="DU78"/>
      <c r="DV78"/>
      <c r="DW78"/>
      <c r="DX78"/>
      <c r="DY78"/>
      <c r="DZ78"/>
      <c r="EA78"/>
      <c r="EB78"/>
      <c r="EC78"/>
      <c r="ED78"/>
      <c r="EE78"/>
      <c r="EF78"/>
      <c r="EG78"/>
      <c r="EH78"/>
      <c r="EI78"/>
      <c r="EJ78"/>
      <c r="EK78"/>
      <c r="EL78"/>
      <c r="EM78"/>
      <c r="EN78"/>
      <c r="EO78"/>
      <c r="EP78"/>
      <c r="EQ78"/>
      <c r="ER78"/>
      <c r="ES78"/>
      <c r="ET78"/>
      <c r="EU78"/>
      <c r="EV78"/>
      <c r="EW78"/>
      <c r="EX78"/>
      <c r="EY78"/>
      <c r="EZ78"/>
      <c r="FA78"/>
      <c r="FB78"/>
      <c r="FC78"/>
      <c r="FD78"/>
      <c r="FE78"/>
      <c r="FF78"/>
      <c r="FG78"/>
      <c r="FH78"/>
      <c r="FI78"/>
      <c r="FJ78"/>
      <c r="FK78"/>
      <c r="FL78"/>
      <c r="FM78"/>
      <c r="FN78"/>
      <c r="FO78"/>
      <c r="FP78"/>
      <c r="FQ78"/>
      <c r="FR78"/>
      <c r="FS78"/>
      <c r="FT78"/>
      <c r="FU78"/>
      <c r="FV78"/>
      <c r="FW78"/>
      <c r="FX78"/>
      <c r="FY78"/>
      <c r="FZ78"/>
      <c r="GA78"/>
      <c r="GB78"/>
      <c r="GC78"/>
      <c r="GD78"/>
      <c r="GE78"/>
      <c r="GF78"/>
      <c r="GG78"/>
      <c r="GH78"/>
      <c r="GI78"/>
      <c r="GJ78"/>
      <c r="GK78"/>
    </row>
    <row r="79" spans="1:193" ht="18" hidden="1" customHeight="1" x14ac:dyDescent="0.25">
      <c r="A79" s="9" t="s">
        <v>81</v>
      </c>
      <c r="B79" s="9">
        <v>4448</v>
      </c>
      <c r="C79" s="9">
        <v>596</v>
      </c>
      <c r="D79" s="9">
        <v>3329</v>
      </c>
      <c r="E79" s="9">
        <v>523</v>
      </c>
      <c r="F79" s="9">
        <v>9657785</v>
      </c>
      <c r="G79" s="9" t="s">
        <v>196</v>
      </c>
      <c r="H79" s="10">
        <v>43894</v>
      </c>
      <c r="I79" s="15">
        <f t="shared" si="3"/>
        <v>0.13399280575539568</v>
      </c>
      <c r="J79" s="15">
        <f t="shared" si="4"/>
        <v>0.74842625899280579</v>
      </c>
      <c r="K79" s="18">
        <f t="shared" si="5"/>
        <v>4.6056109138896753E-4</v>
      </c>
      <c r="L79" s="9" t="str" cm="1">
        <f t="array" ref="L79">_xlfn.IFS(I79&gt;5%,"High Risk",AND(I79&gt;2%,I79&lt;5%),"Modrate Risk",I79&lt;2%, "Low Risk")</f>
        <v>High Risk</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c r="DE79"/>
      <c r="DF79"/>
      <c r="DG79"/>
      <c r="DH79"/>
      <c r="DI79"/>
      <c r="DJ79"/>
      <c r="DK79"/>
      <c r="DL79"/>
      <c r="DM79"/>
      <c r="DN79"/>
      <c r="DO79"/>
      <c r="DP79"/>
      <c r="DQ79"/>
      <c r="DR79"/>
      <c r="DS79"/>
      <c r="DT79"/>
      <c r="DU79"/>
      <c r="DV79"/>
      <c r="DW79"/>
      <c r="DX79"/>
      <c r="DY79"/>
      <c r="DZ79"/>
      <c r="EA79"/>
      <c r="EB79"/>
      <c r="EC79"/>
      <c r="ED79"/>
      <c r="EE79"/>
      <c r="EF79"/>
      <c r="EG79"/>
      <c r="EH79"/>
      <c r="EI79"/>
      <c r="EJ79"/>
      <c r="EK79"/>
      <c r="EL79"/>
      <c r="EM79"/>
      <c r="EN79"/>
      <c r="EO79"/>
      <c r="EP79"/>
      <c r="EQ79"/>
      <c r="ER79"/>
      <c r="ES79"/>
      <c r="ET79"/>
      <c r="EU79"/>
      <c r="EV79"/>
      <c r="EW79"/>
      <c r="EX79"/>
      <c r="EY79"/>
      <c r="EZ79"/>
      <c r="FA79"/>
      <c r="FB79"/>
      <c r="FC79"/>
      <c r="FD79"/>
      <c r="FE79"/>
      <c r="FF79"/>
      <c r="FG79"/>
      <c r="FH79"/>
      <c r="FI79"/>
      <c r="FJ79"/>
      <c r="FK79"/>
      <c r="FL79"/>
      <c r="FM79"/>
      <c r="FN79"/>
      <c r="FO79"/>
      <c r="FP79"/>
      <c r="FQ79"/>
      <c r="FR79"/>
      <c r="FS79"/>
      <c r="FT79"/>
      <c r="FU79"/>
      <c r="FV79"/>
      <c r="FW79"/>
      <c r="FX79"/>
      <c r="FY79"/>
      <c r="FZ79"/>
      <c r="GA79"/>
      <c r="GB79"/>
      <c r="GC79"/>
      <c r="GD79"/>
      <c r="GE79"/>
      <c r="GF79"/>
      <c r="GG79"/>
      <c r="GH79"/>
      <c r="GI79"/>
      <c r="GJ79"/>
      <c r="GK79"/>
    </row>
    <row r="80" spans="1:193" ht="18" hidden="1" customHeight="1" x14ac:dyDescent="0.25">
      <c r="A80" s="8" t="s">
        <v>82</v>
      </c>
      <c r="B80" s="8">
        <v>1854</v>
      </c>
      <c r="C80" s="8">
        <v>10</v>
      </c>
      <c r="D80" s="8">
        <v>1823</v>
      </c>
      <c r="E80" s="8">
        <v>21</v>
      </c>
      <c r="F80" s="8">
        <v>341465</v>
      </c>
      <c r="G80" s="8" t="s">
        <v>196</v>
      </c>
      <c r="H80" s="1">
        <v>43889</v>
      </c>
      <c r="I80" s="14">
        <f t="shared" si="3"/>
        <v>5.3937432578209281E-3</v>
      </c>
      <c r="J80" s="14">
        <f t="shared" si="4"/>
        <v>0.98327939590075508</v>
      </c>
      <c r="K80" s="17">
        <f t="shared" si="5"/>
        <v>5.4295462199639788E-3</v>
      </c>
      <c r="L80" s="8" t="str" cm="1">
        <f t="array" ref="L80">_xlfn.IFS(I80&gt;5%,"High Risk",AND(I80&gt;2%,I80&lt;5%),"Modrate Risk",I80&lt;2%, "Low Risk")</f>
        <v>Low Risk</v>
      </c>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c r="DE80"/>
      <c r="DF80"/>
      <c r="DG80"/>
      <c r="DH80"/>
      <c r="DI80"/>
      <c r="DJ80"/>
      <c r="DK80"/>
      <c r="DL80"/>
      <c r="DM80"/>
      <c r="DN80"/>
      <c r="DO80"/>
      <c r="DP80"/>
      <c r="DQ80"/>
      <c r="DR80"/>
      <c r="DS80"/>
      <c r="DT80"/>
      <c r="DU80"/>
      <c r="DV80"/>
      <c r="DW80"/>
      <c r="DX80"/>
      <c r="DY80"/>
      <c r="DZ80"/>
      <c r="EA80"/>
      <c r="EB80"/>
      <c r="EC80"/>
      <c r="ED80"/>
      <c r="EE80"/>
      <c r="EF80"/>
      <c r="EG80"/>
      <c r="EH80"/>
      <c r="EI80"/>
      <c r="EJ80"/>
      <c r="EK80"/>
      <c r="EL80"/>
      <c r="EM80"/>
      <c r="EN80"/>
      <c r="EO80"/>
      <c r="EP80"/>
      <c r="EQ80"/>
      <c r="ER80"/>
      <c r="ES80"/>
      <c r="ET80"/>
      <c r="EU80"/>
      <c r="EV80"/>
      <c r="EW80"/>
      <c r="EX80"/>
      <c r="EY80"/>
      <c r="EZ80"/>
      <c r="FA80"/>
      <c r="FB80"/>
      <c r="FC80"/>
      <c r="FD80"/>
      <c r="FE80"/>
      <c r="FF80"/>
      <c r="FG80"/>
      <c r="FH80"/>
      <c r="FI80"/>
      <c r="FJ80"/>
      <c r="FK80"/>
      <c r="FL80"/>
      <c r="FM80"/>
      <c r="FN80"/>
      <c r="FO80"/>
      <c r="FP80"/>
      <c r="FQ80"/>
      <c r="FR80"/>
      <c r="FS80"/>
      <c r="FT80"/>
      <c r="FU80"/>
      <c r="FV80"/>
      <c r="FW80"/>
      <c r="FX80"/>
      <c r="FY80"/>
      <c r="FZ80"/>
      <c r="GA80"/>
      <c r="GB80"/>
      <c r="GC80"/>
      <c r="GD80"/>
      <c r="GE80"/>
      <c r="GF80"/>
      <c r="GG80"/>
      <c r="GH80"/>
      <c r="GI80"/>
      <c r="GJ80"/>
      <c r="GK80"/>
    </row>
    <row r="81" spans="1:193" ht="18" customHeight="1" x14ac:dyDescent="0.25">
      <c r="A81" s="9" t="s">
        <v>83</v>
      </c>
      <c r="B81" s="9">
        <v>1480073</v>
      </c>
      <c r="C81" s="9">
        <v>33408</v>
      </c>
      <c r="D81" s="9">
        <v>951166</v>
      </c>
      <c r="E81" s="9">
        <v>495499</v>
      </c>
      <c r="F81" s="9">
        <v>1381344997</v>
      </c>
      <c r="G81" s="9" t="s">
        <v>195</v>
      </c>
      <c r="H81" s="10">
        <v>43860</v>
      </c>
      <c r="I81" s="15">
        <f t="shared" si="3"/>
        <v>2.2571859631247918E-2</v>
      </c>
      <c r="J81" s="15">
        <f t="shared" si="4"/>
        <v>0.64264803154979522</v>
      </c>
      <c r="K81" s="18">
        <f t="shared" si="5"/>
        <v>1.0714723716482247E-3</v>
      </c>
      <c r="L81" s="9" t="str" cm="1">
        <f t="array" ref="L81">_xlfn.IFS(I81&gt;5%,"High Risk",AND(I81&gt;2%,I81&lt;5%),"Modrate Risk",I81&lt;2%, "Low Risk")</f>
        <v>Modrate Risk</v>
      </c>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c r="DE81"/>
      <c r="DF81"/>
      <c r="DG81"/>
      <c r="DH81"/>
      <c r="DI81"/>
      <c r="DJ81"/>
      <c r="DK81"/>
      <c r="DL81"/>
      <c r="DM81"/>
      <c r="DN81"/>
      <c r="DO81"/>
      <c r="DP81"/>
      <c r="DQ81"/>
      <c r="DR81"/>
      <c r="DS81"/>
      <c r="DT81"/>
      <c r="DU81"/>
      <c r="DV81"/>
      <c r="DW81"/>
      <c r="DX81"/>
      <c r="DY81"/>
      <c r="DZ81"/>
      <c r="EA81"/>
      <c r="EB81"/>
      <c r="EC81"/>
      <c r="ED81"/>
      <c r="EE81"/>
      <c r="EF81"/>
      <c r="EG81"/>
      <c r="EH81"/>
      <c r="EI81"/>
      <c r="EJ81"/>
      <c r="EK81"/>
      <c r="EL81"/>
      <c r="EM81"/>
      <c r="EN81"/>
      <c r="EO81"/>
      <c r="EP81"/>
      <c r="EQ81"/>
      <c r="ER81"/>
      <c r="ES81"/>
      <c r="ET81"/>
      <c r="EU81"/>
      <c r="EV81"/>
      <c r="EW81"/>
      <c r="EX81"/>
      <c r="EY81"/>
      <c r="EZ81"/>
      <c r="FA81"/>
      <c r="FB81"/>
      <c r="FC81"/>
      <c r="FD81"/>
      <c r="FE81"/>
      <c r="FF81"/>
      <c r="FG81"/>
      <c r="FH81"/>
      <c r="FI81"/>
      <c r="FJ81"/>
      <c r="FK81"/>
      <c r="FL81"/>
      <c r="FM81"/>
      <c r="FN81"/>
      <c r="FO81"/>
      <c r="FP81"/>
      <c r="FQ81"/>
      <c r="FR81"/>
      <c r="FS81"/>
      <c r="FT81"/>
      <c r="FU81"/>
      <c r="FV81"/>
      <c r="FW81"/>
      <c r="FX81"/>
      <c r="FY81"/>
      <c r="FZ81"/>
      <c r="GA81"/>
      <c r="GB81"/>
      <c r="GC81"/>
      <c r="GD81"/>
      <c r="GE81"/>
      <c r="GF81"/>
      <c r="GG81"/>
      <c r="GH81"/>
      <c r="GI81"/>
      <c r="GJ81"/>
      <c r="GK81"/>
    </row>
    <row r="82" spans="1:193" ht="18" hidden="1" customHeight="1" x14ac:dyDescent="0.25">
      <c r="A82" s="8" t="s">
        <v>84</v>
      </c>
      <c r="B82" s="8">
        <v>100303</v>
      </c>
      <c r="C82" s="8">
        <v>4838</v>
      </c>
      <c r="D82" s="8">
        <v>58173</v>
      </c>
      <c r="E82" s="8">
        <v>37292</v>
      </c>
      <c r="F82" s="8">
        <v>273808365</v>
      </c>
      <c r="G82" s="8" t="s">
        <v>195</v>
      </c>
      <c r="H82" s="1">
        <v>43892</v>
      </c>
      <c r="I82" s="14">
        <f t="shared" si="3"/>
        <v>4.8233851430166598E-2</v>
      </c>
      <c r="J82" s="14">
        <f t="shared" si="4"/>
        <v>0.57997268277120329</v>
      </c>
      <c r="K82" s="17">
        <f t="shared" si="5"/>
        <v>3.6632555035343787E-4</v>
      </c>
      <c r="L82" s="8" t="str" cm="1">
        <f t="array" ref="L82">_xlfn.IFS(I82&gt;5%,"High Risk",AND(I82&gt;2%,I82&lt;5%),"Modrate Risk",I82&lt;2%, "Low Risk")</f>
        <v>Modrate Risk</v>
      </c>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c r="DE82"/>
      <c r="DF82"/>
      <c r="DG82"/>
      <c r="DH82"/>
      <c r="DI82"/>
      <c r="DJ82"/>
      <c r="DK82"/>
      <c r="DL82"/>
      <c r="DM82"/>
      <c r="DN82"/>
      <c r="DO82"/>
      <c r="DP82"/>
      <c r="DQ82"/>
      <c r="DR82"/>
      <c r="DS82"/>
      <c r="DT82"/>
      <c r="DU82"/>
      <c r="DV82"/>
      <c r="DW82"/>
      <c r="DX82"/>
      <c r="DY82"/>
      <c r="DZ82"/>
      <c r="EA82"/>
      <c r="EB82"/>
      <c r="EC82"/>
      <c r="ED82"/>
      <c r="EE82"/>
      <c r="EF82"/>
      <c r="EG82"/>
      <c r="EH82"/>
      <c r="EI82"/>
      <c r="EJ82"/>
      <c r="EK82"/>
      <c r="EL82"/>
      <c r="EM82"/>
      <c r="EN82"/>
      <c r="EO82"/>
      <c r="EP82"/>
      <c r="EQ82"/>
      <c r="ER82"/>
      <c r="ES82"/>
      <c r="ET82"/>
      <c r="EU82"/>
      <c r="EV82"/>
      <c r="EW82"/>
      <c r="EX82"/>
      <c r="EY82"/>
      <c r="EZ82"/>
      <c r="FA82"/>
      <c r="FB82"/>
      <c r="FC82"/>
      <c r="FD82"/>
      <c r="FE82"/>
      <c r="FF82"/>
      <c r="FG82"/>
      <c r="FH82"/>
      <c r="FI82"/>
      <c r="FJ82"/>
      <c r="FK82"/>
      <c r="FL82"/>
      <c r="FM82"/>
      <c r="FN82"/>
      <c r="FO82"/>
      <c r="FP82"/>
      <c r="FQ82"/>
      <c r="FR82"/>
      <c r="FS82"/>
      <c r="FT82"/>
      <c r="FU82"/>
      <c r="FV82"/>
      <c r="FW82"/>
      <c r="FX82"/>
      <c r="FY82"/>
      <c r="FZ82"/>
      <c r="GA82"/>
      <c r="GB82"/>
      <c r="GC82"/>
      <c r="GD82"/>
      <c r="GE82"/>
      <c r="GF82"/>
      <c r="GG82"/>
      <c r="GH82"/>
      <c r="GI82"/>
      <c r="GJ82"/>
      <c r="GK82"/>
    </row>
    <row r="83" spans="1:193" ht="18" customHeight="1" x14ac:dyDescent="0.25">
      <c r="A83" s="9" t="s">
        <v>85</v>
      </c>
      <c r="B83" s="9">
        <v>293606</v>
      </c>
      <c r="C83" s="9">
        <v>15912</v>
      </c>
      <c r="D83" s="9">
        <v>255144</v>
      </c>
      <c r="E83" s="9">
        <v>22550</v>
      </c>
      <c r="F83" s="9">
        <v>84097623</v>
      </c>
      <c r="G83" s="9" t="s">
        <v>195</v>
      </c>
      <c r="H83" s="10">
        <v>43880</v>
      </c>
      <c r="I83" s="15">
        <f t="shared" si="3"/>
        <v>5.4195077757266542E-2</v>
      </c>
      <c r="J83" s="15">
        <f t="shared" si="4"/>
        <v>0.86900131468702957</v>
      </c>
      <c r="K83" s="18">
        <f t="shared" si="5"/>
        <v>3.4912520654715772E-3</v>
      </c>
      <c r="L83" s="9" t="str" cm="1">
        <f t="array" ref="L83">_xlfn.IFS(I83&gt;5%,"High Risk",AND(I83&gt;2%,I83&lt;5%),"Modrate Risk",I83&lt;2%, "Low Risk")</f>
        <v>High Risk</v>
      </c>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c r="DE83"/>
      <c r="DF83"/>
      <c r="DG83"/>
      <c r="DH83"/>
      <c r="DI83"/>
      <c r="DJ83"/>
      <c r="DK83"/>
      <c r="DL83"/>
      <c r="DM83"/>
      <c r="DN83"/>
      <c r="DO83"/>
      <c r="DP83"/>
      <c r="DQ83"/>
      <c r="DR83"/>
      <c r="DS83"/>
      <c r="DT83"/>
      <c r="DU83"/>
      <c r="DV83"/>
      <c r="DW83"/>
      <c r="DX83"/>
      <c r="DY83"/>
      <c r="DZ83"/>
      <c r="EA83"/>
      <c r="EB83"/>
      <c r="EC83"/>
      <c r="ED83"/>
      <c r="EE83"/>
      <c r="EF83"/>
      <c r="EG83"/>
      <c r="EH83"/>
      <c r="EI83"/>
      <c r="EJ83"/>
      <c r="EK83"/>
      <c r="EL83"/>
      <c r="EM83"/>
      <c r="EN83"/>
      <c r="EO83"/>
      <c r="EP83"/>
      <c r="EQ83"/>
      <c r="ER83"/>
      <c r="ES83"/>
      <c r="ET83"/>
      <c r="EU83"/>
      <c r="EV83"/>
      <c r="EW83"/>
      <c r="EX83"/>
      <c r="EY83"/>
      <c r="EZ83"/>
      <c r="FA83"/>
      <c r="FB83"/>
      <c r="FC83"/>
      <c r="FD83"/>
      <c r="FE83"/>
      <c r="FF83"/>
      <c r="FG83"/>
      <c r="FH83"/>
      <c r="FI83"/>
      <c r="FJ83"/>
      <c r="FK83"/>
      <c r="FL83"/>
      <c r="FM83"/>
      <c r="FN83"/>
      <c r="FO83"/>
      <c r="FP83"/>
      <c r="FQ83"/>
      <c r="FR83"/>
      <c r="FS83"/>
      <c r="FT83"/>
      <c r="FU83"/>
      <c r="FV83"/>
      <c r="FW83"/>
      <c r="FX83"/>
      <c r="FY83"/>
      <c r="FZ83"/>
      <c r="GA83"/>
      <c r="GB83"/>
      <c r="GC83"/>
      <c r="GD83"/>
      <c r="GE83"/>
      <c r="GF83"/>
      <c r="GG83"/>
      <c r="GH83"/>
      <c r="GI83"/>
      <c r="GJ83"/>
      <c r="GK83"/>
    </row>
    <row r="84" spans="1:193" ht="18" hidden="1" customHeight="1" x14ac:dyDescent="0.25">
      <c r="A84" s="8" t="s">
        <v>86</v>
      </c>
      <c r="B84" s="8">
        <v>112585</v>
      </c>
      <c r="C84" s="8">
        <v>4458</v>
      </c>
      <c r="D84" s="8">
        <v>77144</v>
      </c>
      <c r="E84" s="8">
        <v>30983</v>
      </c>
      <c r="F84" s="8">
        <v>40306025</v>
      </c>
      <c r="G84" s="8" t="s">
        <v>195</v>
      </c>
      <c r="H84" s="1">
        <v>43883</v>
      </c>
      <c r="I84" s="14">
        <f t="shared" si="3"/>
        <v>3.9596749122884932E-2</v>
      </c>
      <c r="J84" s="14">
        <f t="shared" si="4"/>
        <v>0.68520673269085575</v>
      </c>
      <c r="K84" s="17">
        <f t="shared" si="5"/>
        <v>2.7932548545781927E-3</v>
      </c>
      <c r="L84" s="8" t="str" cm="1">
        <f t="array" ref="L84">_xlfn.IFS(I84&gt;5%,"High Risk",AND(I84&gt;2%,I84&lt;5%),"Modrate Risk",I84&lt;2%, "Low Risk")</f>
        <v>Modrate Risk</v>
      </c>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c r="DE84"/>
      <c r="DF84"/>
      <c r="DG84"/>
      <c r="DH84"/>
      <c r="DI84"/>
      <c r="DJ84"/>
      <c r="DK84"/>
      <c r="DL84"/>
      <c r="DM84"/>
      <c r="DN84"/>
      <c r="DO84"/>
      <c r="DP84"/>
      <c r="DQ84"/>
      <c r="DR84"/>
      <c r="DS84"/>
      <c r="DT84"/>
      <c r="DU84"/>
      <c r="DV84"/>
      <c r="DW84"/>
      <c r="DX84"/>
      <c r="DY84"/>
      <c r="DZ84"/>
      <c r="EA84"/>
      <c r="EB84"/>
      <c r="EC84"/>
      <c r="ED84"/>
      <c r="EE84"/>
      <c r="EF84"/>
      <c r="EG84"/>
      <c r="EH84"/>
      <c r="EI84"/>
      <c r="EJ84"/>
      <c r="EK84"/>
      <c r="EL84"/>
      <c r="EM84"/>
      <c r="EN84"/>
      <c r="EO84"/>
      <c r="EP84"/>
      <c r="EQ84"/>
      <c r="ER84"/>
      <c r="ES84"/>
      <c r="ET84"/>
      <c r="EU84"/>
      <c r="EV84"/>
      <c r="EW84"/>
      <c r="EX84"/>
      <c r="EY84"/>
      <c r="EZ84"/>
      <c r="FA84"/>
      <c r="FB84"/>
      <c r="FC84"/>
      <c r="FD84"/>
      <c r="FE84"/>
      <c r="FF84"/>
      <c r="FG84"/>
      <c r="FH84"/>
      <c r="FI84"/>
      <c r="FJ84"/>
      <c r="FK84"/>
      <c r="FL84"/>
      <c r="FM84"/>
      <c r="FN84"/>
      <c r="FO84"/>
      <c r="FP84"/>
      <c r="FQ84"/>
      <c r="FR84"/>
      <c r="FS84"/>
      <c r="FT84"/>
      <c r="FU84"/>
      <c r="FV84"/>
      <c r="FW84"/>
      <c r="FX84"/>
      <c r="FY84"/>
      <c r="FZ84"/>
      <c r="GA84"/>
      <c r="GB84"/>
      <c r="GC84"/>
      <c r="GD84"/>
      <c r="GE84"/>
      <c r="GF84"/>
      <c r="GG84"/>
      <c r="GH84"/>
      <c r="GI84"/>
      <c r="GJ84"/>
      <c r="GK84"/>
    </row>
    <row r="85" spans="1:193" ht="18" hidden="1" customHeight="1" x14ac:dyDescent="0.25">
      <c r="A85" s="9" t="s">
        <v>87</v>
      </c>
      <c r="B85" s="9">
        <v>25892</v>
      </c>
      <c r="C85" s="9">
        <v>1764</v>
      </c>
      <c r="D85" s="9">
        <v>23364</v>
      </c>
      <c r="E85" s="9">
        <v>764</v>
      </c>
      <c r="F85" s="9">
        <v>4943200</v>
      </c>
      <c r="G85" s="9" t="s">
        <v>196</v>
      </c>
      <c r="H85" s="10">
        <v>43890</v>
      </c>
      <c r="I85" s="15">
        <f t="shared" si="3"/>
        <v>6.8129151861578863E-2</v>
      </c>
      <c r="J85" s="15">
        <f t="shared" si="4"/>
        <v>0.90236366445234051</v>
      </c>
      <c r="K85" s="18">
        <f t="shared" si="5"/>
        <v>5.2379025732319142E-3</v>
      </c>
      <c r="L85" s="9" t="str" cm="1">
        <f t="array" ref="L85">_xlfn.IFS(I85&gt;5%,"High Risk",AND(I85&gt;2%,I85&lt;5%),"Modrate Risk",I85&lt;2%, "Low Risk")</f>
        <v>High Risk</v>
      </c>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c r="DE85"/>
      <c r="DF85"/>
      <c r="DG85"/>
      <c r="DH85"/>
      <c r="DI85"/>
      <c r="DJ85"/>
      <c r="DK85"/>
      <c r="DL85"/>
      <c r="DM85"/>
      <c r="DN85"/>
      <c r="DO85"/>
      <c r="DP85"/>
      <c r="DQ85"/>
      <c r="DR85"/>
      <c r="DS85"/>
      <c r="DT85"/>
      <c r="DU85"/>
      <c r="DV85"/>
      <c r="DW85"/>
      <c r="DX85"/>
      <c r="DY85"/>
      <c r="DZ85"/>
      <c r="EA85"/>
      <c r="EB85"/>
      <c r="EC85"/>
      <c r="ED85"/>
      <c r="EE85"/>
      <c r="EF85"/>
      <c r="EG85"/>
      <c r="EH85"/>
      <c r="EI85"/>
      <c r="EJ85"/>
      <c r="EK85"/>
      <c r="EL85"/>
      <c r="EM85"/>
      <c r="EN85"/>
      <c r="EO85"/>
      <c r="EP85"/>
      <c r="EQ85"/>
      <c r="ER85"/>
      <c r="ES85"/>
      <c r="ET85"/>
      <c r="EU85"/>
      <c r="EV85"/>
      <c r="EW85"/>
      <c r="EX85"/>
      <c r="EY85"/>
      <c r="EZ85"/>
      <c r="FA85"/>
      <c r="FB85"/>
      <c r="FC85"/>
      <c r="FD85"/>
      <c r="FE85"/>
      <c r="FF85"/>
      <c r="FG85"/>
      <c r="FH85"/>
      <c r="FI85"/>
      <c r="FJ85"/>
      <c r="FK85"/>
      <c r="FL85"/>
      <c r="FM85"/>
      <c r="FN85"/>
      <c r="FO85"/>
      <c r="FP85"/>
      <c r="FQ85"/>
      <c r="FR85"/>
      <c r="FS85"/>
      <c r="FT85"/>
      <c r="FU85"/>
      <c r="FV85"/>
      <c r="FW85"/>
      <c r="FX85"/>
      <c r="FY85"/>
      <c r="FZ85"/>
      <c r="GA85"/>
      <c r="GB85"/>
      <c r="GC85"/>
      <c r="GD85"/>
      <c r="GE85"/>
      <c r="GF85"/>
      <c r="GG85"/>
      <c r="GH85"/>
      <c r="GI85"/>
      <c r="GJ85"/>
      <c r="GK85"/>
    </row>
    <row r="86" spans="1:193" ht="18" hidden="1" customHeight="1" x14ac:dyDescent="0.25">
      <c r="A86" s="8" t="s">
        <v>88</v>
      </c>
      <c r="B86" s="8">
        <v>63985</v>
      </c>
      <c r="C86" s="8">
        <v>474</v>
      </c>
      <c r="D86" s="8">
        <v>27133</v>
      </c>
      <c r="E86" s="8">
        <v>36378</v>
      </c>
      <c r="F86" s="8">
        <v>9197590</v>
      </c>
      <c r="G86" s="8" t="s">
        <v>195</v>
      </c>
      <c r="H86" s="1">
        <v>43882</v>
      </c>
      <c r="I86" s="14">
        <f t="shared" si="3"/>
        <v>7.407986246776588E-3</v>
      </c>
      <c r="J86" s="14">
        <f t="shared" si="4"/>
        <v>0.42405251230757207</v>
      </c>
      <c r="K86" s="17">
        <f t="shared" si="5"/>
        <v>6.9567136608611607E-3</v>
      </c>
      <c r="L86" s="8" t="str" cm="1">
        <f t="array" ref="L86">_xlfn.IFS(I86&gt;5%,"High Risk",AND(I86&gt;2%,I86&lt;5%),"Modrate Risk",I86&lt;2%, "Low Risk")</f>
        <v>Low Risk</v>
      </c>
      <c r="N86"/>
      <c r="O86"/>
      <c r="P86"/>
      <c r="Q86"/>
      <c r="R86"/>
      <c r="S86"/>
      <c r="T86"/>
      <c r="U86"/>
      <c r="V86"/>
      <c r="W86"/>
      <c r="X86"/>
      <c r="Y86"/>
      <c r="Z86"/>
      <c r="AA86"/>
      <c r="AB86"/>
      <c r="AC86"/>
      <c r="AD86"/>
      <c r="AE86"/>
      <c r="AF86"/>
      <c r="AG86"/>
      <c r="AH86"/>
      <c r="AI86"/>
      <c r="AJ86"/>
      <c r="AK86"/>
      <c r="AL86"/>
      <c r="AM86"/>
      <c r="AN86"/>
      <c r="AO86"/>
      <c r="AP86"/>
      <c r="AQ86"/>
      <c r="AR86"/>
      <c r="AS86"/>
      <c r="AT86"/>
      <c r="AU86"/>
      <c r="AV86"/>
      <c r="AW86"/>
      <c r="AX86"/>
      <c r="AY86"/>
      <c r="AZ86"/>
      <c r="BA86"/>
      <c r="BB86"/>
      <c r="BC86"/>
      <c r="BD86"/>
      <c r="BE86"/>
      <c r="BF86"/>
      <c r="BG86"/>
      <c r="BH86"/>
      <c r="BI86"/>
      <c r="BJ86"/>
      <c r="BK86"/>
      <c r="BL86"/>
      <c r="BM86"/>
      <c r="BN86"/>
      <c r="BO86"/>
      <c r="BP86"/>
      <c r="BQ86"/>
      <c r="BR86"/>
      <c r="BS86"/>
      <c r="BT86"/>
      <c r="BU86"/>
      <c r="BV86"/>
      <c r="BW86"/>
      <c r="BX86"/>
      <c r="BY86"/>
      <c r="BZ86"/>
      <c r="CA86"/>
      <c r="CB86"/>
      <c r="CC86"/>
      <c r="CD86"/>
      <c r="CE86"/>
      <c r="CF86"/>
      <c r="CG86"/>
      <c r="CH86"/>
      <c r="CI86"/>
      <c r="CJ86"/>
      <c r="CK86"/>
      <c r="CL86"/>
      <c r="CM86"/>
      <c r="CN86"/>
      <c r="CO86"/>
      <c r="CP86"/>
      <c r="CQ86"/>
      <c r="CR86"/>
      <c r="CS86"/>
      <c r="CT86"/>
      <c r="CU86"/>
      <c r="CV86"/>
      <c r="CW86"/>
      <c r="CX86"/>
      <c r="CY86"/>
      <c r="CZ86"/>
      <c r="DA86"/>
      <c r="DB86"/>
      <c r="DC86"/>
      <c r="DD86"/>
      <c r="DE86"/>
      <c r="DF86"/>
      <c r="DG86"/>
      <c r="DH86"/>
      <c r="DI86"/>
      <c r="DJ86"/>
      <c r="DK86"/>
      <c r="DL86"/>
      <c r="DM86"/>
      <c r="DN86"/>
      <c r="DO86"/>
      <c r="DP86"/>
      <c r="DQ86"/>
      <c r="DR86"/>
      <c r="DS86"/>
      <c r="DT86"/>
      <c r="DU86"/>
      <c r="DV86"/>
      <c r="DW86"/>
      <c r="DX86"/>
      <c r="DY86"/>
      <c r="DZ86"/>
      <c r="EA86"/>
      <c r="EB86"/>
      <c r="EC86"/>
      <c r="ED86"/>
      <c r="EE86"/>
      <c r="EF86"/>
      <c r="EG86"/>
      <c r="EH86"/>
      <c r="EI86"/>
      <c r="EJ86"/>
      <c r="EK86"/>
      <c r="EL86"/>
      <c r="EM86"/>
      <c r="EN86"/>
      <c r="EO86"/>
      <c r="EP86"/>
      <c r="EQ86"/>
      <c r="ER86"/>
      <c r="ES86"/>
      <c r="ET86"/>
      <c r="EU86"/>
      <c r="EV86"/>
      <c r="EW86"/>
      <c r="EX86"/>
      <c r="EY86"/>
      <c r="EZ86"/>
      <c r="FA86"/>
      <c r="FB86"/>
      <c r="FC86"/>
      <c r="FD86"/>
      <c r="FE86"/>
      <c r="FF86"/>
      <c r="FG86"/>
      <c r="FH86"/>
      <c r="FI86"/>
      <c r="FJ86"/>
      <c r="FK86"/>
      <c r="FL86"/>
      <c r="FM86"/>
      <c r="FN86"/>
      <c r="FO86"/>
      <c r="FP86"/>
      <c r="FQ86"/>
      <c r="FR86"/>
      <c r="FS86"/>
      <c r="FT86"/>
      <c r="FU86"/>
      <c r="FV86"/>
      <c r="FW86"/>
      <c r="FX86"/>
      <c r="FY86"/>
      <c r="FZ86"/>
      <c r="GA86"/>
      <c r="GB86"/>
      <c r="GC86"/>
      <c r="GD86"/>
      <c r="GE86"/>
      <c r="GF86"/>
      <c r="GG86"/>
      <c r="GH86"/>
      <c r="GI86"/>
      <c r="GJ86"/>
      <c r="GK86"/>
    </row>
    <row r="87" spans="1:193" ht="18" hidden="1" customHeight="1" x14ac:dyDescent="0.25">
      <c r="A87" s="9" t="s">
        <v>89</v>
      </c>
      <c r="B87" s="9">
        <v>246286</v>
      </c>
      <c r="C87" s="9">
        <v>35112</v>
      </c>
      <c r="D87" s="9">
        <v>198593</v>
      </c>
      <c r="E87" s="9">
        <v>12581</v>
      </c>
      <c r="F87" s="9">
        <v>60452568</v>
      </c>
      <c r="G87" s="9" t="s">
        <v>196</v>
      </c>
      <c r="H87" s="10">
        <v>43861</v>
      </c>
      <c r="I87" s="15">
        <f t="shared" si="3"/>
        <v>0.14256595990027854</v>
      </c>
      <c r="J87" s="15">
        <f t="shared" si="4"/>
        <v>0.80635115272488078</v>
      </c>
      <c r="K87" s="18">
        <f t="shared" si="5"/>
        <v>4.0740370202304726E-3</v>
      </c>
      <c r="L87" s="9" t="str" cm="1">
        <f t="array" ref="L87">_xlfn.IFS(I87&gt;5%,"High Risk",AND(I87&gt;2%,I87&lt;5%),"Modrate Risk",I87&lt;2%, "Low Risk")</f>
        <v>High Risk</v>
      </c>
      <c r="N87"/>
      <c r="O87"/>
      <c r="P87"/>
      <c r="Q87"/>
      <c r="R87"/>
      <c r="S87"/>
      <c r="T87"/>
      <c r="U87"/>
      <c r="V87"/>
      <c r="W87"/>
      <c r="X87"/>
      <c r="Y87"/>
      <c r="Z87"/>
      <c r="AA87"/>
      <c r="AB87"/>
      <c r="AC87"/>
      <c r="AD87"/>
      <c r="AE87"/>
      <c r="AF87"/>
      <c r="AG87"/>
      <c r="AH87"/>
      <c r="AI87"/>
      <c r="AJ87"/>
      <c r="AK87"/>
      <c r="AL87"/>
      <c r="AM87"/>
      <c r="AN87"/>
      <c r="AO87"/>
      <c r="AP87"/>
      <c r="AQ87"/>
      <c r="AR87"/>
      <c r="AS87"/>
      <c r="AT87"/>
      <c r="AU87"/>
      <c r="AV87"/>
      <c r="AW87"/>
      <c r="AX87"/>
      <c r="AY87"/>
      <c r="AZ87"/>
      <c r="BA87"/>
      <c r="BB87"/>
      <c r="BC87"/>
      <c r="BD87"/>
      <c r="BE87"/>
      <c r="BF87"/>
      <c r="BG87"/>
      <c r="BH87"/>
      <c r="BI87"/>
      <c r="BJ87"/>
      <c r="BK87"/>
      <c r="BL87"/>
      <c r="BM87"/>
      <c r="BN87"/>
      <c r="BO87"/>
      <c r="BP87"/>
      <c r="BQ87"/>
      <c r="BR87"/>
      <c r="BS87"/>
      <c r="BT87"/>
      <c r="BU87"/>
      <c r="BV87"/>
      <c r="BW87"/>
      <c r="BX87"/>
      <c r="BY87"/>
      <c r="BZ87"/>
      <c r="CA87"/>
      <c r="CB87"/>
      <c r="CC87"/>
      <c r="CD87"/>
      <c r="CE87"/>
      <c r="CF87"/>
      <c r="CG87"/>
      <c r="CH87"/>
      <c r="CI87"/>
      <c r="CJ87"/>
      <c r="CK87"/>
      <c r="CL87"/>
      <c r="CM87"/>
      <c r="CN87"/>
      <c r="CO87"/>
      <c r="CP87"/>
      <c r="CQ87"/>
      <c r="CR87"/>
      <c r="CS87"/>
      <c r="CT87"/>
      <c r="CU87"/>
      <c r="CV87"/>
      <c r="CW87"/>
      <c r="CX87"/>
      <c r="CY87"/>
      <c r="CZ87"/>
      <c r="DA87"/>
      <c r="DB87"/>
      <c r="DC87"/>
      <c r="DD87"/>
      <c r="DE87"/>
      <c r="DF87"/>
      <c r="DG87"/>
      <c r="DH87"/>
      <c r="DI87"/>
      <c r="DJ87"/>
      <c r="DK87"/>
      <c r="DL87"/>
      <c r="DM87"/>
      <c r="DN87"/>
      <c r="DO87"/>
      <c r="DP87"/>
      <c r="DQ87"/>
      <c r="DR87"/>
      <c r="DS87"/>
      <c r="DT87"/>
      <c r="DU87"/>
      <c r="DV87"/>
      <c r="DW87"/>
      <c r="DX87"/>
      <c r="DY87"/>
      <c r="DZ87"/>
      <c r="EA87"/>
      <c r="EB87"/>
      <c r="EC87"/>
      <c r="ED87"/>
      <c r="EE87"/>
      <c r="EF87"/>
      <c r="EG87"/>
      <c r="EH87"/>
      <c r="EI87"/>
      <c r="EJ87"/>
      <c r="EK87"/>
      <c r="EL87"/>
      <c r="EM87"/>
      <c r="EN87"/>
      <c r="EO87"/>
      <c r="EP87"/>
      <c r="EQ87"/>
      <c r="ER87"/>
      <c r="ES87"/>
      <c r="ET87"/>
      <c r="EU87"/>
      <c r="EV87"/>
      <c r="EW87"/>
      <c r="EX87"/>
      <c r="EY87"/>
      <c r="EZ87"/>
      <c r="FA87"/>
      <c r="FB87"/>
      <c r="FC87"/>
      <c r="FD87"/>
      <c r="FE87"/>
      <c r="FF87"/>
      <c r="FG87"/>
      <c r="FH87"/>
      <c r="FI87"/>
      <c r="FJ87"/>
      <c r="FK87"/>
      <c r="FL87"/>
      <c r="FM87"/>
      <c r="FN87"/>
      <c r="FO87"/>
      <c r="FP87"/>
      <c r="FQ87"/>
      <c r="FR87"/>
      <c r="FS87"/>
      <c r="FT87"/>
      <c r="FU87"/>
      <c r="FV87"/>
      <c r="FW87"/>
      <c r="FX87"/>
      <c r="FY87"/>
      <c r="FZ87"/>
      <c r="GA87"/>
      <c r="GB87"/>
      <c r="GC87"/>
      <c r="GD87"/>
      <c r="GE87"/>
      <c r="GF87"/>
      <c r="GG87"/>
      <c r="GH87"/>
      <c r="GI87"/>
      <c r="GJ87"/>
      <c r="GK87"/>
    </row>
    <row r="88" spans="1:193" ht="18" hidden="1" customHeight="1" x14ac:dyDescent="0.25">
      <c r="A88" s="8" t="s">
        <v>90</v>
      </c>
      <c r="B88" s="8">
        <v>853</v>
      </c>
      <c r="C88" s="8">
        <v>10</v>
      </c>
      <c r="D88" s="8">
        <v>714</v>
      </c>
      <c r="E88" s="8">
        <v>129</v>
      </c>
      <c r="F88" s="8">
        <v>2962478</v>
      </c>
      <c r="G88" s="8" t="s">
        <v>198</v>
      </c>
      <c r="H88" s="1">
        <v>43900</v>
      </c>
      <c r="I88" s="14">
        <f t="shared" si="3"/>
        <v>1.1723329425556858E-2</v>
      </c>
      <c r="J88" s="14">
        <f t="shared" si="4"/>
        <v>0.83704572098475971</v>
      </c>
      <c r="K88" s="17">
        <f t="shared" si="5"/>
        <v>2.8793462770018881E-4</v>
      </c>
      <c r="L88" s="8" t="str" cm="1">
        <f t="array" ref="L88">_xlfn.IFS(I88&gt;5%,"High Risk",AND(I88&gt;2%,I88&lt;5%),"Modrate Risk",I88&lt;2%, "Low Risk")</f>
        <v>Low Risk</v>
      </c>
      <c r="N88"/>
      <c r="O88"/>
      <c r="P88"/>
      <c r="Q88"/>
      <c r="R88"/>
      <c r="S88"/>
      <c r="T88"/>
      <c r="U88"/>
      <c r="V88"/>
      <c r="W88"/>
      <c r="X88"/>
      <c r="Y88"/>
      <c r="Z88"/>
      <c r="AA88"/>
      <c r="AB88"/>
      <c r="AC88"/>
      <c r="AD88"/>
      <c r="AE88"/>
      <c r="AF88"/>
      <c r="AG88"/>
      <c r="AH88"/>
      <c r="AI88"/>
      <c r="AJ88"/>
      <c r="AK88"/>
      <c r="AL88"/>
      <c r="AM88"/>
      <c r="AN88"/>
      <c r="AO88"/>
      <c r="AP88"/>
      <c r="AQ88"/>
      <c r="AR88"/>
      <c r="AS88"/>
      <c r="AT88"/>
      <c r="AU88"/>
      <c r="AV88"/>
      <c r="AW88"/>
      <c r="AX88"/>
      <c r="AY88"/>
      <c r="AZ88"/>
      <c r="BA88"/>
      <c r="BB88"/>
      <c r="BC88"/>
      <c r="BD88"/>
      <c r="BE88"/>
      <c r="BF88"/>
      <c r="BG88"/>
      <c r="BH88"/>
      <c r="BI88"/>
      <c r="BJ88"/>
      <c r="BK88"/>
      <c r="BL88"/>
      <c r="BM88"/>
      <c r="BN88"/>
      <c r="BO88"/>
      <c r="BP88"/>
      <c r="BQ88"/>
      <c r="BR88"/>
      <c r="BS88"/>
      <c r="BT88"/>
      <c r="BU88"/>
      <c r="BV88"/>
      <c r="BW88"/>
      <c r="BX88"/>
      <c r="BY88"/>
      <c r="BZ88"/>
      <c r="CA88"/>
      <c r="CB88"/>
      <c r="CC88"/>
      <c r="CD88"/>
      <c r="CE88"/>
      <c r="CF88"/>
      <c r="CG88"/>
      <c r="CH88"/>
      <c r="CI88"/>
      <c r="CJ88"/>
      <c r="CK88"/>
      <c r="CL88"/>
      <c r="CM88"/>
      <c r="CN88"/>
      <c r="CO88"/>
      <c r="CP88"/>
      <c r="CQ88"/>
      <c r="CR88"/>
      <c r="CS88"/>
      <c r="CT88"/>
      <c r="CU88"/>
      <c r="CV88"/>
      <c r="CW88"/>
      <c r="CX88"/>
      <c r="CY88"/>
      <c r="CZ88"/>
      <c r="DA88"/>
      <c r="DB88"/>
      <c r="DC88"/>
      <c r="DD88"/>
      <c r="DE88"/>
      <c r="DF88"/>
      <c r="DG88"/>
      <c r="DH88"/>
      <c r="DI88"/>
      <c r="DJ88"/>
      <c r="DK88"/>
      <c r="DL88"/>
      <c r="DM88"/>
      <c r="DN88"/>
      <c r="DO88"/>
      <c r="DP88"/>
      <c r="DQ88"/>
      <c r="DR88"/>
      <c r="DS88"/>
      <c r="DT88"/>
      <c r="DU88"/>
      <c r="DV88"/>
      <c r="DW88"/>
      <c r="DX88"/>
      <c r="DY88"/>
      <c r="DZ88"/>
      <c r="EA88"/>
      <c r="EB88"/>
      <c r="EC88"/>
      <c r="ED88"/>
      <c r="EE88"/>
      <c r="EF88"/>
      <c r="EG88"/>
      <c r="EH88"/>
      <c r="EI88"/>
      <c r="EJ88"/>
      <c r="EK88"/>
      <c r="EL88"/>
      <c r="EM88"/>
      <c r="EN88"/>
      <c r="EO88"/>
      <c r="EP88"/>
      <c r="EQ88"/>
      <c r="ER88"/>
      <c r="ES88"/>
      <c r="ET88"/>
      <c r="EU88"/>
      <c r="EV88"/>
      <c r="EW88"/>
      <c r="EX88"/>
      <c r="EY88"/>
      <c r="EZ88"/>
      <c r="FA88"/>
      <c r="FB88"/>
      <c r="FC88"/>
      <c r="FD88"/>
      <c r="FE88"/>
      <c r="FF88"/>
      <c r="FG88"/>
      <c r="FH88"/>
      <c r="FI88"/>
      <c r="FJ88"/>
      <c r="FK88"/>
      <c r="FL88"/>
      <c r="FM88"/>
      <c r="FN88"/>
      <c r="FO88"/>
      <c r="FP88"/>
      <c r="FQ88"/>
      <c r="FR88"/>
      <c r="FS88"/>
      <c r="FT88"/>
      <c r="FU88"/>
      <c r="FV88"/>
      <c r="FW88"/>
      <c r="FX88"/>
      <c r="FY88"/>
      <c r="FZ88"/>
      <c r="GA88"/>
      <c r="GB88"/>
      <c r="GC88"/>
      <c r="GD88"/>
      <c r="GE88"/>
      <c r="GF88"/>
      <c r="GG88"/>
      <c r="GH88"/>
      <c r="GI88"/>
      <c r="GJ88"/>
      <c r="GK88"/>
    </row>
    <row r="89" spans="1:193" ht="18" hidden="1" customHeight="1" x14ac:dyDescent="0.25">
      <c r="A89" s="9" t="s">
        <v>91</v>
      </c>
      <c r="B89" s="9">
        <v>31142</v>
      </c>
      <c r="C89" s="9">
        <v>998</v>
      </c>
      <c r="D89" s="9">
        <v>21970</v>
      </c>
      <c r="E89" s="9">
        <v>8174</v>
      </c>
      <c r="F89" s="9">
        <v>126435859</v>
      </c>
      <c r="G89" s="9" t="s">
        <v>195</v>
      </c>
      <c r="H89" s="10">
        <v>43846</v>
      </c>
      <c r="I89" s="15">
        <f t="shared" si="3"/>
        <v>3.2046753580373774E-2</v>
      </c>
      <c r="J89" s="15">
        <f t="shared" si="4"/>
        <v>0.70547813242566304</v>
      </c>
      <c r="K89" s="18">
        <f t="shared" si="5"/>
        <v>2.4630670639094564E-4</v>
      </c>
      <c r="L89" s="9" t="str" cm="1">
        <f t="array" ref="L89">_xlfn.IFS(I89&gt;5%,"High Risk",AND(I89&gt;2%,I89&lt;5%),"Modrate Risk",I89&lt;2%, "Low Risk")</f>
        <v>Modrate Risk</v>
      </c>
      <c r="N89"/>
      <c r="O89"/>
      <c r="P89"/>
      <c r="Q89"/>
      <c r="R89"/>
      <c r="S89"/>
      <c r="T89"/>
      <c r="U89"/>
      <c r="V89"/>
      <c r="W89"/>
      <c r="X89"/>
      <c r="Y89"/>
      <c r="Z89"/>
      <c r="AA89"/>
      <c r="AB89"/>
      <c r="AC89"/>
      <c r="AD89"/>
      <c r="AE89"/>
      <c r="AF89"/>
      <c r="AG89"/>
      <c r="AH89"/>
      <c r="AI89"/>
      <c r="AJ89"/>
      <c r="AK89"/>
      <c r="AL89"/>
      <c r="AM89"/>
      <c r="AN89"/>
      <c r="AO89"/>
      <c r="AP89"/>
      <c r="AQ89"/>
      <c r="AR89"/>
      <c r="AS89"/>
      <c r="AT89"/>
      <c r="AU89"/>
      <c r="AV89"/>
      <c r="AW89"/>
      <c r="AX89"/>
      <c r="AY89"/>
      <c r="AZ89"/>
      <c r="BA89"/>
      <c r="BB89"/>
      <c r="BC89"/>
      <c r="BD89"/>
      <c r="BE89"/>
      <c r="BF89"/>
      <c r="BG89"/>
      <c r="BH89"/>
      <c r="BI89"/>
      <c r="BJ89"/>
      <c r="BK89"/>
      <c r="BL89"/>
      <c r="BM89"/>
      <c r="BN89"/>
      <c r="BO89"/>
      <c r="BP89"/>
      <c r="BQ89"/>
      <c r="BR89"/>
      <c r="BS89"/>
      <c r="BT89"/>
      <c r="BU89"/>
      <c r="BV89"/>
      <c r="BW89"/>
      <c r="BX89"/>
      <c r="BY89"/>
      <c r="BZ89"/>
      <c r="CA89"/>
      <c r="CB89"/>
      <c r="CC89"/>
      <c r="CD89"/>
      <c r="CE89"/>
      <c r="CF89"/>
      <c r="CG89"/>
      <c r="CH89"/>
      <c r="CI89"/>
      <c r="CJ89"/>
      <c r="CK89"/>
      <c r="CL89"/>
      <c r="CM89"/>
      <c r="CN89"/>
      <c r="CO89"/>
      <c r="CP89"/>
      <c r="CQ89"/>
      <c r="CR89"/>
      <c r="CS89"/>
      <c r="CT89"/>
      <c r="CU89"/>
      <c r="CV89"/>
      <c r="CW89"/>
      <c r="CX89"/>
      <c r="CY89"/>
      <c r="CZ89"/>
      <c r="DA89"/>
      <c r="DB89"/>
      <c r="DC89"/>
      <c r="DD89"/>
      <c r="DE89"/>
      <c r="DF89"/>
      <c r="DG89"/>
      <c r="DH89"/>
      <c r="DI89"/>
      <c r="DJ89"/>
      <c r="DK89"/>
      <c r="DL89"/>
      <c r="DM89"/>
      <c r="DN89"/>
      <c r="DO89"/>
      <c r="DP89"/>
      <c r="DQ89"/>
      <c r="DR89"/>
      <c r="DS89"/>
      <c r="DT89"/>
      <c r="DU89"/>
      <c r="DV89"/>
      <c r="DW89"/>
      <c r="DX89"/>
      <c r="DY89"/>
      <c r="DZ89"/>
      <c r="EA89"/>
      <c r="EB89"/>
      <c r="EC89"/>
      <c r="ED89"/>
      <c r="EE89"/>
      <c r="EF89"/>
      <c r="EG89"/>
      <c r="EH89"/>
      <c r="EI89"/>
      <c r="EJ89"/>
      <c r="EK89"/>
      <c r="EL89"/>
      <c r="EM89"/>
      <c r="EN89"/>
      <c r="EO89"/>
      <c r="EP89"/>
      <c r="EQ89"/>
      <c r="ER89"/>
      <c r="ES89"/>
      <c r="ET89"/>
      <c r="EU89"/>
      <c r="EV89"/>
      <c r="EW89"/>
      <c r="EX89"/>
      <c r="EY89"/>
      <c r="EZ89"/>
      <c r="FA89"/>
      <c r="FB89"/>
      <c r="FC89"/>
      <c r="FD89"/>
      <c r="FE89"/>
      <c r="FF89"/>
      <c r="FG89"/>
      <c r="FH89"/>
      <c r="FI89"/>
      <c r="FJ89"/>
      <c r="FK89"/>
      <c r="FL89"/>
      <c r="FM89"/>
      <c r="FN89"/>
      <c r="FO89"/>
      <c r="FP89"/>
      <c r="FQ89"/>
      <c r="FR89"/>
      <c r="FS89"/>
      <c r="FT89"/>
      <c r="FU89"/>
      <c r="FV89"/>
      <c r="FW89"/>
      <c r="FX89"/>
      <c r="FY89"/>
      <c r="FZ89"/>
      <c r="GA89"/>
      <c r="GB89"/>
      <c r="GC89"/>
      <c r="GD89"/>
      <c r="GE89"/>
      <c r="GF89"/>
      <c r="GG89"/>
      <c r="GH89"/>
      <c r="GI89"/>
      <c r="GJ89"/>
      <c r="GK89"/>
    </row>
    <row r="90" spans="1:193" ht="18" hidden="1" customHeight="1" x14ac:dyDescent="0.25">
      <c r="A90" s="8" t="s">
        <v>92</v>
      </c>
      <c r="B90" s="8">
        <v>1176</v>
      </c>
      <c r="C90" s="8">
        <v>11</v>
      </c>
      <c r="D90" s="8">
        <v>1041</v>
      </c>
      <c r="E90" s="8">
        <v>124</v>
      </c>
      <c r="F90" s="8">
        <v>10213138</v>
      </c>
      <c r="G90" s="8" t="s">
        <v>195</v>
      </c>
      <c r="H90" s="1">
        <v>43892</v>
      </c>
      <c r="I90" s="14">
        <f t="shared" si="3"/>
        <v>9.3537414965986394E-3</v>
      </c>
      <c r="J90" s="14">
        <f t="shared" si="4"/>
        <v>0.88520408163265307</v>
      </c>
      <c r="K90" s="17">
        <f t="shared" si="5"/>
        <v>1.1514580533426651E-4</v>
      </c>
      <c r="L90" s="8" t="str" cm="1">
        <f t="array" ref="L90">_xlfn.IFS(I90&gt;5%,"High Risk",AND(I90&gt;2%,I90&lt;5%),"Modrate Risk",I90&lt;2%, "Low Risk")</f>
        <v>Low Risk</v>
      </c>
      <c r="N90"/>
      <c r="O90"/>
      <c r="P90"/>
      <c r="Q90"/>
      <c r="R90"/>
      <c r="S90"/>
      <c r="T90"/>
      <c r="U90"/>
      <c r="V90"/>
      <c r="W90"/>
      <c r="X90"/>
      <c r="Y90"/>
      <c r="Z90"/>
      <c r="AA90"/>
      <c r="AB90"/>
      <c r="AC90"/>
      <c r="AD90"/>
      <c r="AE90"/>
      <c r="AF90"/>
      <c r="AG90"/>
      <c r="AH90"/>
      <c r="AI90"/>
      <c r="AJ90"/>
      <c r="AK90"/>
      <c r="AL90"/>
      <c r="AM90"/>
      <c r="AN90"/>
      <c r="AO90"/>
      <c r="AP90"/>
      <c r="AQ90"/>
      <c r="AR90"/>
      <c r="AS90"/>
      <c r="AT90"/>
      <c r="AU90"/>
      <c r="AV90"/>
      <c r="AW90"/>
      <c r="AX90"/>
      <c r="AY90"/>
      <c r="AZ90"/>
      <c r="BA90"/>
      <c r="BB90"/>
      <c r="BC90"/>
      <c r="BD90"/>
      <c r="BE90"/>
      <c r="BF90"/>
      <c r="BG90"/>
      <c r="BH90"/>
      <c r="BI90"/>
      <c r="BJ90"/>
      <c r="BK90"/>
      <c r="BL90"/>
      <c r="BM90"/>
      <c r="BN90"/>
      <c r="BO90"/>
      <c r="BP90"/>
      <c r="BQ90"/>
      <c r="BR90"/>
      <c r="BS90"/>
      <c r="BT90"/>
      <c r="BU90"/>
      <c r="BV90"/>
      <c r="BW90"/>
      <c r="BX90"/>
      <c r="BY90"/>
      <c r="BZ90"/>
      <c r="CA90"/>
      <c r="CB90"/>
      <c r="CC90"/>
      <c r="CD90"/>
      <c r="CE90"/>
      <c r="CF90"/>
      <c r="CG90"/>
      <c r="CH90"/>
      <c r="CI90"/>
      <c r="CJ90"/>
      <c r="CK90"/>
      <c r="CL90"/>
      <c r="CM90"/>
      <c r="CN90"/>
      <c r="CO90"/>
      <c r="CP90"/>
      <c r="CQ90"/>
      <c r="CR90"/>
      <c r="CS90"/>
      <c r="CT90"/>
      <c r="CU90"/>
      <c r="CV90"/>
      <c r="CW90"/>
      <c r="CX90"/>
      <c r="CY90"/>
      <c r="CZ90"/>
      <c r="DA90"/>
      <c r="DB90"/>
      <c r="DC90"/>
      <c r="DD90"/>
      <c r="DE90"/>
      <c r="DF90"/>
      <c r="DG90"/>
      <c r="DH90"/>
      <c r="DI90"/>
      <c r="DJ90"/>
      <c r="DK90"/>
      <c r="DL90"/>
      <c r="DM90"/>
      <c r="DN90"/>
      <c r="DO90"/>
      <c r="DP90"/>
      <c r="DQ90"/>
      <c r="DR90"/>
      <c r="DS90"/>
      <c r="DT90"/>
      <c r="DU90"/>
      <c r="DV90"/>
      <c r="DW90"/>
      <c r="DX90"/>
      <c r="DY90"/>
      <c r="DZ90"/>
      <c r="EA90"/>
      <c r="EB90"/>
      <c r="EC90"/>
      <c r="ED90"/>
      <c r="EE90"/>
      <c r="EF90"/>
      <c r="EG90"/>
      <c r="EH90"/>
      <c r="EI90"/>
      <c r="EJ90"/>
      <c r="EK90"/>
      <c r="EL90"/>
      <c r="EM90"/>
      <c r="EN90"/>
      <c r="EO90"/>
      <c r="EP90"/>
      <c r="EQ90"/>
      <c r="ER90"/>
      <c r="ES90"/>
      <c r="ET90"/>
      <c r="EU90"/>
      <c r="EV90"/>
      <c r="EW90"/>
      <c r="EX90"/>
      <c r="EY90"/>
      <c r="EZ90"/>
      <c r="FA90"/>
      <c r="FB90"/>
      <c r="FC90"/>
      <c r="FD90"/>
      <c r="FE90"/>
      <c r="FF90"/>
      <c r="FG90"/>
      <c r="FH90"/>
      <c r="FI90"/>
      <c r="FJ90"/>
      <c r="FK90"/>
      <c r="FL90"/>
      <c r="FM90"/>
      <c r="FN90"/>
      <c r="FO90"/>
      <c r="FP90"/>
      <c r="FQ90"/>
      <c r="FR90"/>
      <c r="FS90"/>
      <c r="FT90"/>
      <c r="FU90"/>
      <c r="FV90"/>
      <c r="FW90"/>
      <c r="FX90"/>
      <c r="FY90"/>
      <c r="FZ90"/>
      <c r="GA90"/>
      <c r="GB90"/>
      <c r="GC90"/>
      <c r="GD90"/>
      <c r="GE90"/>
      <c r="GF90"/>
      <c r="GG90"/>
      <c r="GH90"/>
      <c r="GI90"/>
      <c r="GJ90"/>
      <c r="GK90"/>
    </row>
    <row r="91" spans="1:193" ht="18" hidden="1" customHeight="1" x14ac:dyDescent="0.25">
      <c r="A91" s="9" t="s">
        <v>93</v>
      </c>
      <c r="B91" s="9">
        <v>84648</v>
      </c>
      <c r="C91" s="9">
        <v>585</v>
      </c>
      <c r="D91" s="9">
        <v>54404</v>
      </c>
      <c r="E91" s="9">
        <v>29659</v>
      </c>
      <c r="F91" s="9">
        <v>18798667</v>
      </c>
      <c r="G91" s="9" t="s">
        <v>195</v>
      </c>
      <c r="H91" s="10">
        <v>43903</v>
      </c>
      <c r="I91" s="15">
        <f t="shared" si="3"/>
        <v>6.9109724978735467E-3</v>
      </c>
      <c r="J91" s="15">
        <f t="shared" si="4"/>
        <v>0.64270862867403833</v>
      </c>
      <c r="K91" s="18">
        <f t="shared" si="5"/>
        <v>4.5028724643082409E-3</v>
      </c>
      <c r="L91" s="9" t="str" cm="1">
        <f t="array" ref="L91">_xlfn.IFS(I91&gt;5%,"High Risk",AND(I91&gt;2%,I91&lt;5%),"Modrate Risk",I91&lt;2%, "Low Risk")</f>
        <v>Low Risk</v>
      </c>
      <c r="N91"/>
      <c r="O91"/>
      <c r="P91"/>
      <c r="Q91"/>
      <c r="R91"/>
      <c r="S91"/>
      <c r="T91"/>
      <c r="U91"/>
      <c r="V91"/>
      <c r="W91"/>
      <c r="X91"/>
      <c r="Y91"/>
      <c r="Z91"/>
      <c r="AA91"/>
      <c r="AB91"/>
      <c r="AC91"/>
      <c r="AD91"/>
      <c r="AE91"/>
      <c r="AF91"/>
      <c r="AG91"/>
      <c r="AH91"/>
      <c r="AI91"/>
      <c r="AJ91"/>
      <c r="AK91"/>
      <c r="AL91"/>
      <c r="AM91"/>
      <c r="AN91"/>
      <c r="AO91"/>
      <c r="AP91"/>
      <c r="AQ91"/>
      <c r="AR91"/>
      <c r="AS91"/>
      <c r="AT91"/>
      <c r="AU91"/>
      <c r="AV91"/>
      <c r="AW91"/>
      <c r="AX91"/>
      <c r="AY91"/>
      <c r="AZ91"/>
      <c r="BA91"/>
      <c r="BB91"/>
      <c r="BC91"/>
      <c r="BD91"/>
      <c r="BE91"/>
      <c r="BF91"/>
      <c r="BG91"/>
      <c r="BH91"/>
      <c r="BI91"/>
      <c r="BJ91"/>
      <c r="BK91"/>
      <c r="BL91"/>
      <c r="BM91"/>
      <c r="BN91"/>
      <c r="BO91"/>
      <c r="BP91"/>
      <c r="BQ91"/>
      <c r="BR91"/>
      <c r="BS91"/>
      <c r="BT91"/>
      <c r="BU91"/>
      <c r="BV91"/>
      <c r="BW91"/>
      <c r="BX91"/>
      <c r="BY91"/>
      <c r="BZ91"/>
      <c r="CA91"/>
      <c r="CB91"/>
      <c r="CC91"/>
      <c r="CD91"/>
      <c r="CE91"/>
      <c r="CF91"/>
      <c r="CG91"/>
      <c r="CH91"/>
      <c r="CI91"/>
      <c r="CJ91"/>
      <c r="CK91"/>
      <c r="CL91"/>
      <c r="CM91"/>
      <c r="CN91"/>
      <c r="CO91"/>
      <c r="CP91"/>
      <c r="CQ91"/>
      <c r="CR91"/>
      <c r="CS91"/>
      <c r="CT91"/>
      <c r="CU91"/>
      <c r="CV91"/>
      <c r="CW91"/>
      <c r="CX91"/>
      <c r="CY91"/>
      <c r="CZ91"/>
      <c r="DA91"/>
      <c r="DB91"/>
      <c r="DC91"/>
      <c r="DD91"/>
      <c r="DE91"/>
      <c r="DF91"/>
      <c r="DG91"/>
      <c r="DH91"/>
      <c r="DI91"/>
      <c r="DJ91"/>
      <c r="DK91"/>
      <c r="DL91"/>
      <c r="DM91"/>
      <c r="DN91"/>
      <c r="DO91"/>
      <c r="DP91"/>
      <c r="DQ91"/>
      <c r="DR91"/>
      <c r="DS91"/>
      <c r="DT91"/>
      <c r="DU91"/>
      <c r="DV91"/>
      <c r="DW91"/>
      <c r="DX91"/>
      <c r="DY91"/>
      <c r="DZ91"/>
      <c r="EA91"/>
      <c r="EB91"/>
      <c r="EC91"/>
      <c r="ED91"/>
      <c r="EE91"/>
      <c r="EF91"/>
      <c r="EG91"/>
      <c r="EH91"/>
      <c r="EI91"/>
      <c r="EJ91"/>
      <c r="EK91"/>
      <c r="EL91"/>
      <c r="EM91"/>
      <c r="EN91"/>
      <c r="EO91"/>
      <c r="EP91"/>
      <c r="EQ91"/>
      <c r="ER91"/>
      <c r="ES91"/>
      <c r="ET91"/>
      <c r="EU91"/>
      <c r="EV91"/>
      <c r="EW91"/>
      <c r="EX91"/>
      <c r="EY91"/>
      <c r="EZ91"/>
      <c r="FA91"/>
      <c r="FB91"/>
      <c r="FC91"/>
      <c r="FD91"/>
      <c r="FE91"/>
      <c r="FF91"/>
      <c r="FG91"/>
      <c r="FH91"/>
      <c r="FI91"/>
      <c r="FJ91"/>
      <c r="FK91"/>
      <c r="FL91"/>
      <c r="FM91"/>
      <c r="FN91"/>
      <c r="FO91"/>
      <c r="FP91"/>
      <c r="FQ91"/>
      <c r="FR91"/>
      <c r="FS91"/>
      <c r="FT91"/>
      <c r="FU91"/>
      <c r="FV91"/>
      <c r="FW91"/>
      <c r="FX91"/>
      <c r="FY91"/>
      <c r="FZ91"/>
      <c r="GA91"/>
      <c r="GB91"/>
      <c r="GC91"/>
      <c r="GD91"/>
      <c r="GE91"/>
      <c r="GF91"/>
      <c r="GG91"/>
      <c r="GH91"/>
      <c r="GI91"/>
      <c r="GJ91"/>
      <c r="GK91"/>
    </row>
    <row r="92" spans="1:193" ht="18" hidden="1" customHeight="1" x14ac:dyDescent="0.25">
      <c r="A92" s="8" t="s">
        <v>94</v>
      </c>
      <c r="B92" s="8">
        <v>17975</v>
      </c>
      <c r="C92" s="8">
        <v>285</v>
      </c>
      <c r="D92" s="8">
        <v>7833</v>
      </c>
      <c r="E92" s="8">
        <v>9857</v>
      </c>
      <c r="F92" s="8">
        <v>53881160</v>
      </c>
      <c r="G92" s="8" t="s">
        <v>197</v>
      </c>
      <c r="H92" s="1">
        <v>43903</v>
      </c>
      <c r="I92" s="14">
        <f t="shared" si="3"/>
        <v>1.5855354659248956E-2</v>
      </c>
      <c r="J92" s="14">
        <f t="shared" si="4"/>
        <v>0.4357719054242003</v>
      </c>
      <c r="K92" s="17">
        <f t="shared" si="5"/>
        <v>3.3360454748932648E-4</v>
      </c>
      <c r="L92" s="8" t="str" cm="1">
        <f t="array" ref="L92">_xlfn.IFS(I92&gt;5%,"High Risk",AND(I92&gt;2%,I92&lt;5%),"Modrate Risk",I92&lt;2%, "Low Risk")</f>
        <v>Low Risk</v>
      </c>
      <c r="N92"/>
      <c r="O92"/>
      <c r="P92"/>
      <c r="Q92"/>
      <c r="R92"/>
      <c r="S92"/>
      <c r="T92"/>
      <c r="U92"/>
      <c r="V92"/>
      <c r="W92"/>
      <c r="X92"/>
      <c r="Y92"/>
      <c r="Z92"/>
      <c r="AA92"/>
      <c r="AB92"/>
      <c r="AC92"/>
      <c r="AD92"/>
      <c r="AE92"/>
      <c r="AF92"/>
      <c r="AG92"/>
      <c r="AH92"/>
      <c r="AI92"/>
      <c r="AJ92"/>
      <c r="AK92"/>
      <c r="AL92"/>
      <c r="AM92"/>
      <c r="AN92"/>
      <c r="AO92"/>
      <c r="AP92"/>
      <c r="AQ92"/>
      <c r="AR92"/>
      <c r="AS92"/>
      <c r="AT92"/>
      <c r="AU92"/>
      <c r="AV92"/>
      <c r="AW92"/>
      <c r="AX92"/>
      <c r="AY92"/>
      <c r="AZ92"/>
      <c r="BA92"/>
      <c r="BB92"/>
      <c r="BC92"/>
      <c r="BD92"/>
      <c r="BE92"/>
      <c r="BF92"/>
      <c r="BG92"/>
      <c r="BH92"/>
      <c r="BI92"/>
      <c r="BJ92"/>
      <c r="BK92"/>
      <c r="BL92"/>
      <c r="BM92"/>
      <c r="BN92"/>
      <c r="BO92"/>
      <c r="BP92"/>
      <c r="BQ92"/>
      <c r="BR92"/>
      <c r="BS92"/>
      <c r="BT92"/>
      <c r="BU92"/>
      <c r="BV92"/>
      <c r="BW92"/>
      <c r="BX92"/>
      <c r="BY92"/>
      <c r="BZ92"/>
      <c r="CA92"/>
      <c r="CB92"/>
      <c r="CC92"/>
      <c r="CD92"/>
      <c r="CE92"/>
      <c r="CF92"/>
      <c r="CG92"/>
      <c r="CH92"/>
      <c r="CI92"/>
      <c r="CJ92"/>
      <c r="CK92"/>
      <c r="CL92"/>
      <c r="CM92"/>
      <c r="CN92"/>
      <c r="CO92"/>
      <c r="CP92"/>
      <c r="CQ92"/>
      <c r="CR92"/>
      <c r="CS92"/>
      <c r="CT92"/>
      <c r="CU92"/>
      <c r="CV92"/>
      <c r="CW92"/>
      <c r="CX92"/>
      <c r="CY92"/>
      <c r="CZ92"/>
      <c r="DA92"/>
      <c r="DB92"/>
      <c r="DC92"/>
      <c r="DD92"/>
      <c r="DE92"/>
      <c r="DF92"/>
      <c r="DG92"/>
      <c r="DH92"/>
      <c r="DI92"/>
      <c r="DJ92"/>
      <c r="DK92"/>
      <c r="DL92"/>
      <c r="DM92"/>
      <c r="DN92"/>
      <c r="DO92"/>
      <c r="DP92"/>
      <c r="DQ92"/>
      <c r="DR92"/>
      <c r="DS92"/>
      <c r="DT92"/>
      <c r="DU92"/>
      <c r="DV92"/>
      <c r="DW92"/>
      <c r="DX92"/>
      <c r="DY92"/>
      <c r="DZ92"/>
      <c r="EA92"/>
      <c r="EB92"/>
      <c r="EC92"/>
      <c r="ED92"/>
      <c r="EE92"/>
      <c r="EF92"/>
      <c r="EG92"/>
      <c r="EH92"/>
      <c r="EI92"/>
      <c r="EJ92"/>
      <c r="EK92"/>
      <c r="EL92"/>
      <c r="EM92"/>
      <c r="EN92"/>
      <c r="EO92"/>
      <c r="EP92"/>
      <c r="EQ92"/>
      <c r="ER92"/>
      <c r="ES92"/>
      <c r="ET92"/>
      <c r="EU92"/>
      <c r="EV92"/>
      <c r="EW92"/>
      <c r="EX92"/>
      <c r="EY92"/>
      <c r="EZ92"/>
      <c r="FA92"/>
      <c r="FB92"/>
      <c r="FC92"/>
      <c r="FD92"/>
      <c r="FE92"/>
      <c r="FF92"/>
      <c r="FG92"/>
      <c r="FH92"/>
      <c r="FI92"/>
      <c r="FJ92"/>
      <c r="FK92"/>
      <c r="FL92"/>
      <c r="FM92"/>
      <c r="FN92"/>
      <c r="FO92"/>
      <c r="FP92"/>
      <c r="FQ92"/>
      <c r="FR92"/>
      <c r="FS92"/>
      <c r="FT92"/>
      <c r="FU92"/>
      <c r="FV92"/>
      <c r="FW92"/>
      <c r="FX92"/>
      <c r="FY92"/>
      <c r="FZ92"/>
      <c r="GA92"/>
      <c r="GB92"/>
      <c r="GC92"/>
      <c r="GD92"/>
      <c r="GE92"/>
      <c r="GF92"/>
      <c r="GG92"/>
      <c r="GH92"/>
      <c r="GI92"/>
      <c r="GJ92"/>
      <c r="GK92"/>
    </row>
    <row r="93" spans="1:193" ht="18" hidden="1" customHeight="1" x14ac:dyDescent="0.25">
      <c r="A93" s="9" t="s">
        <v>95</v>
      </c>
      <c r="B93" s="9">
        <v>7413</v>
      </c>
      <c r="C93" s="9">
        <v>185</v>
      </c>
      <c r="D93" s="9">
        <v>4027</v>
      </c>
      <c r="E93" s="9">
        <v>3201</v>
      </c>
      <c r="F93" s="13">
        <v>1790152</v>
      </c>
      <c r="G93" s="9" t="s">
        <v>196</v>
      </c>
      <c r="H93" s="10">
        <v>43903</v>
      </c>
      <c r="I93" s="15">
        <f t="shared" si="3"/>
        <v>2.4956158100634021E-2</v>
      </c>
      <c r="J93" s="15">
        <f t="shared" si="4"/>
        <v>0.54323485768244972</v>
      </c>
      <c r="K93" s="18">
        <f t="shared" si="5"/>
        <v>4.1409891450558392E-3</v>
      </c>
      <c r="L93" s="9" t="str" cm="1">
        <f t="array" ref="L93">_xlfn.IFS(I93&gt;5%,"High Risk",AND(I93&gt;2%,I93&lt;5%),"Modrate Risk",I93&lt;2%, "Low Risk")</f>
        <v>Modrate Risk</v>
      </c>
      <c r="N93"/>
      <c r="O93"/>
      <c r="P93"/>
      <c r="Q93"/>
      <c r="R93"/>
      <c r="S93"/>
      <c r="T93"/>
      <c r="U93"/>
      <c r="V93"/>
      <c r="W93"/>
      <c r="X93"/>
      <c r="Y93"/>
      <c r="Z93"/>
      <c r="AA93"/>
      <c r="AB93"/>
      <c r="AC93"/>
      <c r="AD93"/>
      <c r="AE93"/>
      <c r="AF93"/>
      <c r="AG93"/>
      <c r="AH93"/>
      <c r="AI93"/>
      <c r="AJ93"/>
      <c r="AK93"/>
      <c r="AL93"/>
      <c r="AM93"/>
      <c r="AN93"/>
      <c r="AO93"/>
      <c r="AP93"/>
      <c r="AQ93"/>
      <c r="AR93"/>
      <c r="AS93"/>
      <c r="AT93"/>
      <c r="AU93"/>
      <c r="AV93"/>
      <c r="AW93"/>
      <c r="AX93"/>
      <c r="AY93"/>
      <c r="AZ93"/>
      <c r="BA93"/>
      <c r="BB93"/>
      <c r="BC93"/>
      <c r="BD93"/>
      <c r="BE93"/>
      <c r="BF93"/>
      <c r="BG93"/>
      <c r="BH93"/>
      <c r="BI93"/>
      <c r="BJ93"/>
      <c r="BK93"/>
      <c r="BL93"/>
      <c r="BM93"/>
      <c r="BN93"/>
      <c r="BO93"/>
      <c r="BP93"/>
      <c r="BQ93"/>
      <c r="BR93"/>
      <c r="BS93"/>
      <c r="BT93"/>
      <c r="BU93"/>
      <c r="BV93"/>
      <c r="BW93"/>
      <c r="BX93"/>
      <c r="BY93"/>
      <c r="BZ93"/>
      <c r="CA93"/>
      <c r="CB93"/>
      <c r="CC93"/>
      <c r="CD93"/>
      <c r="CE93"/>
      <c r="CF93"/>
      <c r="CG93"/>
      <c r="CH93"/>
      <c r="CI93"/>
      <c r="CJ93"/>
      <c r="CK93"/>
      <c r="CL93"/>
      <c r="CM93"/>
      <c r="CN93"/>
      <c r="CO93"/>
      <c r="CP93"/>
      <c r="CQ93"/>
      <c r="CR93"/>
      <c r="CS93"/>
      <c r="CT93"/>
      <c r="CU93"/>
      <c r="CV93"/>
      <c r="CW93"/>
      <c r="CX93"/>
      <c r="CY93"/>
      <c r="CZ93"/>
      <c r="DA93"/>
      <c r="DB93"/>
      <c r="DC93"/>
      <c r="DD93"/>
      <c r="DE93"/>
      <c r="DF93"/>
      <c r="DG93"/>
      <c r="DH93"/>
      <c r="DI93"/>
      <c r="DJ93"/>
      <c r="DK93"/>
      <c r="DL93"/>
      <c r="DM93"/>
      <c r="DN93"/>
      <c r="DO93"/>
      <c r="DP93"/>
      <c r="DQ93"/>
      <c r="DR93"/>
      <c r="DS93"/>
      <c r="DT93"/>
      <c r="DU93"/>
      <c r="DV93"/>
      <c r="DW93"/>
      <c r="DX93"/>
      <c r="DY93"/>
      <c r="DZ93"/>
      <c r="EA93"/>
      <c r="EB93"/>
      <c r="EC93"/>
      <c r="ED93"/>
      <c r="EE93"/>
      <c r="EF93"/>
      <c r="EG93"/>
      <c r="EH93"/>
      <c r="EI93"/>
      <c r="EJ93"/>
      <c r="EK93"/>
      <c r="EL93"/>
      <c r="EM93"/>
      <c r="EN93"/>
      <c r="EO93"/>
      <c r="EP93"/>
      <c r="EQ93"/>
      <c r="ER93"/>
      <c r="ES93"/>
      <c r="ET93"/>
      <c r="EU93"/>
      <c r="EV93"/>
      <c r="EW93"/>
      <c r="EX93"/>
      <c r="EY93"/>
      <c r="EZ93"/>
      <c r="FA93"/>
      <c r="FB93"/>
      <c r="FC93"/>
      <c r="FD93"/>
      <c r="FE93"/>
      <c r="FF93"/>
      <c r="FG93"/>
      <c r="FH93"/>
      <c r="FI93"/>
      <c r="FJ93"/>
      <c r="FK93"/>
      <c r="FL93"/>
      <c r="FM93"/>
      <c r="FN93"/>
      <c r="FO93"/>
      <c r="FP93"/>
      <c r="FQ93"/>
      <c r="FR93"/>
      <c r="FS93"/>
      <c r="FT93"/>
      <c r="FU93"/>
      <c r="FV93"/>
      <c r="FW93"/>
      <c r="FX93"/>
      <c r="FY93"/>
      <c r="FZ93"/>
      <c r="GA93"/>
      <c r="GB93"/>
      <c r="GC93"/>
      <c r="GD93"/>
      <c r="GE93"/>
      <c r="GF93"/>
      <c r="GG93"/>
      <c r="GH93"/>
      <c r="GI93"/>
      <c r="GJ93"/>
      <c r="GK93"/>
    </row>
    <row r="94" spans="1:193" ht="18" hidden="1" customHeight="1" x14ac:dyDescent="0.25">
      <c r="A94" s="8" t="s">
        <v>96</v>
      </c>
      <c r="B94" s="8">
        <v>64379</v>
      </c>
      <c r="C94" s="8">
        <v>438</v>
      </c>
      <c r="D94" s="8">
        <v>55057</v>
      </c>
      <c r="E94" s="8">
        <v>8884</v>
      </c>
      <c r="F94" s="8">
        <v>4276658</v>
      </c>
      <c r="G94" s="8" t="s">
        <v>195</v>
      </c>
      <c r="H94" s="1">
        <v>43885</v>
      </c>
      <c r="I94" s="14">
        <f t="shared" si="3"/>
        <v>6.8034607558365304E-3</v>
      </c>
      <c r="J94" s="14">
        <f t="shared" si="4"/>
        <v>0.85520123021482164</v>
      </c>
      <c r="K94" s="17">
        <f t="shared" si="5"/>
        <v>1.5053576881761413E-2</v>
      </c>
      <c r="L94" s="8" t="str" cm="1">
        <f t="array" ref="L94">_xlfn.IFS(I94&gt;5%,"High Risk",AND(I94&gt;2%,I94&lt;5%),"Modrate Risk",I94&lt;2%, "Low Risk")</f>
        <v>Low Risk</v>
      </c>
      <c r="N94"/>
      <c r="O94"/>
      <c r="P94"/>
      <c r="Q94"/>
      <c r="R94"/>
      <c r="S94"/>
      <c r="T94"/>
      <c r="U94"/>
      <c r="V94"/>
      <c r="W94"/>
      <c r="X94"/>
      <c r="Y94"/>
      <c r="Z94"/>
      <c r="AA94"/>
      <c r="AB94"/>
      <c r="AC94"/>
      <c r="AD94"/>
      <c r="AE94"/>
      <c r="AF94"/>
      <c r="AG94"/>
      <c r="AH94"/>
      <c r="AI94"/>
      <c r="AJ94"/>
      <c r="AK94"/>
      <c r="AL94"/>
      <c r="AM94"/>
      <c r="AN94"/>
      <c r="AO94"/>
      <c r="AP94"/>
      <c r="AQ94"/>
      <c r="AR94"/>
      <c r="AS94"/>
      <c r="AT94"/>
      <c r="AU94"/>
      <c r="AV94"/>
      <c r="AW94"/>
      <c r="AX94"/>
      <c r="AY94"/>
      <c r="AZ94"/>
      <c r="BA94"/>
      <c r="BB94"/>
      <c r="BC94"/>
      <c r="BD94"/>
      <c r="BE94"/>
      <c r="BF94"/>
      <c r="BG94"/>
      <c r="BH94"/>
      <c r="BI94"/>
      <c r="BJ94"/>
      <c r="BK94"/>
      <c r="BL94"/>
      <c r="BM94"/>
      <c r="BN94"/>
      <c r="BO94"/>
      <c r="BP94"/>
      <c r="BQ94"/>
      <c r="BR94"/>
      <c r="BS94"/>
      <c r="BT94"/>
      <c r="BU94"/>
      <c r="BV94"/>
      <c r="BW94"/>
      <c r="BX94"/>
      <c r="BY94"/>
      <c r="BZ94"/>
      <c r="CA94"/>
      <c r="CB94"/>
      <c r="CC94"/>
      <c r="CD94"/>
      <c r="CE94"/>
      <c r="CF94"/>
      <c r="CG94"/>
      <c r="CH94"/>
      <c r="CI94"/>
      <c r="CJ94"/>
      <c r="CK94"/>
      <c r="CL94"/>
      <c r="CM94"/>
      <c r="CN94"/>
      <c r="CO94"/>
      <c r="CP94"/>
      <c r="CQ94"/>
      <c r="CR94"/>
      <c r="CS94"/>
      <c r="CT94"/>
      <c r="CU94"/>
      <c r="CV94"/>
      <c r="CW94"/>
      <c r="CX94"/>
      <c r="CY94"/>
      <c r="CZ94"/>
      <c r="DA94"/>
      <c r="DB94"/>
      <c r="DC94"/>
      <c r="DD94"/>
      <c r="DE94"/>
      <c r="DF94"/>
      <c r="DG94"/>
      <c r="DH94"/>
      <c r="DI94"/>
      <c r="DJ94"/>
      <c r="DK94"/>
      <c r="DL94"/>
      <c r="DM94"/>
      <c r="DN94"/>
      <c r="DO94"/>
      <c r="DP94"/>
      <c r="DQ94"/>
      <c r="DR94"/>
      <c r="DS94"/>
      <c r="DT94"/>
      <c r="DU94"/>
      <c r="DV94"/>
      <c r="DW94"/>
      <c r="DX94"/>
      <c r="DY94"/>
      <c r="DZ94"/>
      <c r="EA94"/>
      <c r="EB94"/>
      <c r="EC94"/>
      <c r="ED94"/>
      <c r="EE94"/>
      <c r="EF94"/>
      <c r="EG94"/>
      <c r="EH94"/>
      <c r="EI94"/>
      <c r="EJ94"/>
      <c r="EK94"/>
      <c r="EL94"/>
      <c r="EM94"/>
      <c r="EN94"/>
      <c r="EO94"/>
      <c r="EP94"/>
      <c r="EQ94"/>
      <c r="ER94"/>
      <c r="ES94"/>
      <c r="ET94"/>
      <c r="EU94"/>
      <c r="EV94"/>
      <c r="EW94"/>
      <c r="EX94"/>
      <c r="EY94"/>
      <c r="EZ94"/>
      <c r="FA94"/>
      <c r="FB94"/>
      <c r="FC94"/>
      <c r="FD94"/>
      <c r="FE94"/>
      <c r="FF94"/>
      <c r="FG94"/>
      <c r="FH94"/>
      <c r="FI94"/>
      <c r="FJ94"/>
      <c r="FK94"/>
      <c r="FL94"/>
      <c r="FM94"/>
      <c r="FN94"/>
      <c r="FO94"/>
      <c r="FP94"/>
      <c r="FQ94"/>
      <c r="FR94"/>
      <c r="FS94"/>
      <c r="FT94"/>
      <c r="FU94"/>
      <c r="FV94"/>
      <c r="FW94"/>
      <c r="FX94"/>
      <c r="FY94"/>
      <c r="FZ94"/>
      <c r="GA94"/>
      <c r="GB94"/>
      <c r="GC94"/>
      <c r="GD94"/>
      <c r="GE94"/>
      <c r="GF94"/>
      <c r="GG94"/>
      <c r="GH94"/>
      <c r="GI94"/>
      <c r="GJ94"/>
      <c r="GK94"/>
    </row>
    <row r="95" spans="1:193" ht="18" hidden="1" customHeight="1" x14ac:dyDescent="0.25">
      <c r="A95" s="9" t="s">
        <v>97</v>
      </c>
      <c r="B95" s="9">
        <v>33296</v>
      </c>
      <c r="C95" s="9">
        <v>1301</v>
      </c>
      <c r="D95" s="9">
        <v>21205</v>
      </c>
      <c r="E95" s="9">
        <v>10790</v>
      </c>
      <c r="F95" s="9">
        <v>6534479</v>
      </c>
      <c r="G95" s="9" t="s">
        <v>195</v>
      </c>
      <c r="H95" s="10">
        <v>43908</v>
      </c>
      <c r="I95" s="15">
        <f t="shared" si="3"/>
        <v>3.9073762614127823E-2</v>
      </c>
      <c r="J95" s="15">
        <f t="shared" si="4"/>
        <v>0.63686328688130711</v>
      </c>
      <c r="K95" s="18">
        <f t="shared" si="5"/>
        <v>5.0954330100379842E-3</v>
      </c>
      <c r="L95" s="9" t="str" cm="1">
        <f t="array" ref="L95">_xlfn.IFS(I95&gt;5%,"High Risk",AND(I95&gt;2%,I95&lt;5%),"Modrate Risk",I95&lt;2%, "Low Risk")</f>
        <v>Modrate Risk</v>
      </c>
      <c r="N95"/>
      <c r="O95"/>
      <c r="P95"/>
      <c r="Q95"/>
      <c r="R95"/>
      <c r="S95"/>
      <c r="T95"/>
      <c r="U95"/>
      <c r="V95"/>
      <c r="W95"/>
      <c r="X95"/>
      <c r="Y95"/>
      <c r="Z95"/>
      <c r="AA95"/>
      <c r="AB95"/>
      <c r="AC95"/>
      <c r="AD95"/>
      <c r="AE95"/>
      <c r="AF95"/>
      <c r="AG95"/>
      <c r="AH95"/>
      <c r="AI95"/>
      <c r="AJ95"/>
      <c r="AK95"/>
      <c r="AL95"/>
      <c r="AM95"/>
      <c r="AN95"/>
      <c r="AO95"/>
      <c r="AP95"/>
      <c r="AQ95"/>
      <c r="AR95"/>
      <c r="AS95"/>
      <c r="AT95"/>
      <c r="AU95"/>
      <c r="AV95"/>
      <c r="AW95"/>
      <c r="AX95"/>
      <c r="AY95"/>
      <c r="AZ95"/>
      <c r="BA95"/>
      <c r="BB95"/>
      <c r="BC95"/>
      <c r="BD95"/>
      <c r="BE95"/>
      <c r="BF95"/>
      <c r="BG95"/>
      <c r="BH95"/>
      <c r="BI95"/>
      <c r="BJ95"/>
      <c r="BK95"/>
      <c r="BL95"/>
      <c r="BM95"/>
      <c r="BN95"/>
      <c r="BO95"/>
      <c r="BP95"/>
      <c r="BQ95"/>
      <c r="BR95"/>
      <c r="BS95"/>
      <c r="BT95"/>
      <c r="BU95"/>
      <c r="BV95"/>
      <c r="BW95"/>
      <c r="BX95"/>
      <c r="BY95"/>
      <c r="BZ95"/>
      <c r="CA95"/>
      <c r="CB95"/>
      <c r="CC95"/>
      <c r="CD95"/>
      <c r="CE95"/>
      <c r="CF95"/>
      <c r="CG95"/>
      <c r="CH95"/>
      <c r="CI95"/>
      <c r="CJ95"/>
      <c r="CK95"/>
      <c r="CL95"/>
      <c r="CM95"/>
      <c r="CN95"/>
      <c r="CO95"/>
      <c r="CP95"/>
      <c r="CQ95"/>
      <c r="CR95"/>
      <c r="CS95"/>
      <c r="CT95"/>
      <c r="CU95"/>
      <c r="CV95"/>
      <c r="CW95"/>
      <c r="CX95"/>
      <c r="CY95"/>
      <c r="CZ95"/>
      <c r="DA95"/>
      <c r="DB95"/>
      <c r="DC95"/>
      <c r="DD95"/>
      <c r="DE95"/>
      <c r="DF95"/>
      <c r="DG95"/>
      <c r="DH95"/>
      <c r="DI95"/>
      <c r="DJ95"/>
      <c r="DK95"/>
      <c r="DL95"/>
      <c r="DM95"/>
      <c r="DN95"/>
      <c r="DO95"/>
      <c r="DP95"/>
      <c r="DQ95"/>
      <c r="DR95"/>
      <c r="DS95"/>
      <c r="DT95"/>
      <c r="DU95"/>
      <c r="DV95"/>
      <c r="DW95"/>
      <c r="DX95"/>
      <c r="DY95"/>
      <c r="DZ95"/>
      <c r="EA95"/>
      <c r="EB95"/>
      <c r="EC95"/>
      <c r="ED95"/>
      <c r="EE95"/>
      <c r="EF95"/>
      <c r="EG95"/>
      <c r="EH95"/>
      <c r="EI95"/>
      <c r="EJ95"/>
      <c r="EK95"/>
      <c r="EL95"/>
      <c r="EM95"/>
      <c r="EN95"/>
      <c r="EO95"/>
      <c r="EP95"/>
      <c r="EQ95"/>
      <c r="ER95"/>
      <c r="ES95"/>
      <c r="ET95"/>
      <c r="EU95"/>
      <c r="EV95"/>
      <c r="EW95"/>
      <c r="EX95"/>
      <c r="EY95"/>
      <c r="EZ95"/>
      <c r="FA95"/>
      <c r="FB95"/>
      <c r="FC95"/>
      <c r="FD95"/>
      <c r="FE95"/>
      <c r="FF95"/>
      <c r="FG95"/>
      <c r="FH95"/>
      <c r="FI95"/>
      <c r="FJ95"/>
      <c r="FK95"/>
      <c r="FL95"/>
      <c r="FM95"/>
      <c r="FN95"/>
      <c r="FO95"/>
      <c r="FP95"/>
      <c r="FQ95"/>
      <c r="FR95"/>
      <c r="FS95"/>
      <c r="FT95"/>
      <c r="FU95"/>
      <c r="FV95"/>
      <c r="FW95"/>
      <c r="FX95"/>
      <c r="FY95"/>
      <c r="FZ95"/>
      <c r="GA95"/>
      <c r="GB95"/>
      <c r="GC95"/>
      <c r="GD95"/>
      <c r="GE95"/>
      <c r="GF95"/>
      <c r="GG95"/>
      <c r="GH95"/>
      <c r="GI95"/>
      <c r="GJ95"/>
      <c r="GK95"/>
    </row>
    <row r="96" spans="1:193" ht="18" hidden="1" customHeight="1" x14ac:dyDescent="0.25">
      <c r="A96" s="8" t="s">
        <v>98</v>
      </c>
      <c r="B96" s="8">
        <v>20</v>
      </c>
      <c r="C96" s="8">
        <v>0</v>
      </c>
      <c r="D96" s="8">
        <v>19</v>
      </c>
      <c r="E96" s="8">
        <v>1</v>
      </c>
      <c r="F96" s="8">
        <v>7285750</v>
      </c>
      <c r="G96" s="8" t="s">
        <v>195</v>
      </c>
      <c r="H96" s="1">
        <v>43914</v>
      </c>
      <c r="I96" s="14">
        <f t="shared" si="3"/>
        <v>0</v>
      </c>
      <c r="J96" s="14">
        <f t="shared" si="4"/>
        <v>0.95</v>
      </c>
      <c r="K96" s="17">
        <f t="shared" si="5"/>
        <v>2.7450845829187114E-6</v>
      </c>
      <c r="L96" s="8" t="str" cm="1">
        <f t="array" ref="L96">_xlfn.IFS(I96&gt;5%,"High Risk",AND(I96&gt;2%,I96&lt;5%),"Modrate Risk",I96&lt;2%, "Low Risk")</f>
        <v>Low Risk</v>
      </c>
      <c r="N96"/>
      <c r="O96"/>
      <c r="P96"/>
      <c r="Q96"/>
      <c r="R96"/>
      <c r="S96"/>
      <c r="T96"/>
      <c r="U96"/>
      <c r="V96"/>
      <c r="W96"/>
      <c r="X96"/>
      <c r="Y96"/>
      <c r="Z96"/>
      <c r="AA96"/>
      <c r="AB96"/>
      <c r="AC96"/>
      <c r="AD96"/>
      <c r="AE96"/>
      <c r="AF96"/>
      <c r="AG96"/>
      <c r="AH96"/>
      <c r="AI96"/>
      <c r="AJ96"/>
      <c r="AK96"/>
      <c r="AL96"/>
      <c r="AM96"/>
      <c r="AN96"/>
      <c r="AO96"/>
      <c r="AP96"/>
      <c r="AQ96"/>
      <c r="AR96"/>
      <c r="AS96"/>
      <c r="AT96"/>
      <c r="AU96"/>
      <c r="AV96"/>
      <c r="AW96"/>
      <c r="AX96"/>
      <c r="AY96"/>
      <c r="AZ96"/>
      <c r="BA96"/>
      <c r="BB96"/>
      <c r="BC96"/>
      <c r="BD96"/>
      <c r="BE96"/>
      <c r="BF96"/>
      <c r="BG96"/>
      <c r="BH96"/>
      <c r="BI96"/>
      <c r="BJ96"/>
      <c r="BK96"/>
      <c r="BL96"/>
      <c r="BM96"/>
      <c r="BN96"/>
      <c r="BO96"/>
      <c r="BP96"/>
      <c r="BQ96"/>
      <c r="BR96"/>
      <c r="BS96"/>
      <c r="BT96"/>
      <c r="BU96"/>
      <c r="BV96"/>
      <c r="BW96"/>
      <c r="BX96"/>
      <c r="BY96"/>
      <c r="BZ96"/>
      <c r="CA96"/>
      <c r="CB96"/>
      <c r="CC96"/>
      <c r="CD96"/>
      <c r="CE96"/>
      <c r="CF96"/>
      <c r="CG96"/>
      <c r="CH96"/>
      <c r="CI96"/>
      <c r="CJ96"/>
      <c r="CK96"/>
      <c r="CL96"/>
      <c r="CM96"/>
      <c r="CN96"/>
      <c r="CO96"/>
      <c r="CP96"/>
      <c r="CQ96"/>
      <c r="CR96"/>
      <c r="CS96"/>
      <c r="CT96"/>
      <c r="CU96"/>
      <c r="CV96"/>
      <c r="CW96"/>
      <c r="CX96"/>
      <c r="CY96"/>
      <c r="CZ96"/>
      <c r="DA96"/>
      <c r="DB96"/>
      <c r="DC96"/>
      <c r="DD96"/>
      <c r="DE96"/>
      <c r="DF96"/>
      <c r="DG96"/>
      <c r="DH96"/>
      <c r="DI96"/>
      <c r="DJ96"/>
      <c r="DK96"/>
      <c r="DL96"/>
      <c r="DM96"/>
      <c r="DN96"/>
      <c r="DO96"/>
      <c r="DP96"/>
      <c r="DQ96"/>
      <c r="DR96"/>
      <c r="DS96"/>
      <c r="DT96"/>
      <c r="DU96"/>
      <c r="DV96"/>
      <c r="DW96"/>
      <c r="DX96"/>
      <c r="DY96"/>
      <c r="DZ96"/>
      <c r="EA96"/>
      <c r="EB96"/>
      <c r="EC96"/>
      <c r="ED96"/>
      <c r="EE96"/>
      <c r="EF96"/>
      <c r="EG96"/>
      <c r="EH96"/>
      <c r="EI96"/>
      <c r="EJ96"/>
      <c r="EK96"/>
      <c r="EL96"/>
      <c r="EM96"/>
      <c r="EN96"/>
      <c r="EO96"/>
      <c r="EP96"/>
      <c r="EQ96"/>
      <c r="ER96"/>
      <c r="ES96"/>
      <c r="ET96"/>
      <c r="EU96"/>
      <c r="EV96"/>
      <c r="EW96"/>
      <c r="EX96"/>
      <c r="EY96"/>
      <c r="EZ96"/>
      <c r="FA96"/>
      <c r="FB96"/>
      <c r="FC96"/>
      <c r="FD96"/>
      <c r="FE96"/>
      <c r="FF96"/>
      <c r="FG96"/>
      <c r="FH96"/>
      <c r="FI96"/>
      <c r="FJ96"/>
      <c r="FK96"/>
      <c r="FL96"/>
      <c r="FM96"/>
      <c r="FN96"/>
      <c r="FO96"/>
      <c r="FP96"/>
      <c r="FQ96"/>
      <c r="FR96"/>
      <c r="FS96"/>
      <c r="FT96"/>
      <c r="FU96"/>
      <c r="FV96"/>
      <c r="FW96"/>
      <c r="FX96"/>
      <c r="FY96"/>
      <c r="FZ96"/>
      <c r="GA96"/>
      <c r="GB96"/>
      <c r="GC96"/>
      <c r="GD96"/>
      <c r="GE96"/>
      <c r="GF96"/>
      <c r="GG96"/>
      <c r="GH96"/>
      <c r="GI96"/>
      <c r="GJ96"/>
      <c r="GK96"/>
    </row>
    <row r="97" spans="1:193" ht="18" hidden="1" customHeight="1" x14ac:dyDescent="0.25">
      <c r="A97" s="9" t="s">
        <v>99</v>
      </c>
      <c r="B97" s="9">
        <v>1219</v>
      </c>
      <c r="C97" s="9">
        <v>31</v>
      </c>
      <c r="D97" s="9">
        <v>1045</v>
      </c>
      <c r="E97" s="9">
        <v>143</v>
      </c>
      <c r="F97" s="9">
        <v>1883936</v>
      </c>
      <c r="G97" s="9" t="s">
        <v>196</v>
      </c>
      <c r="H97" s="10">
        <v>43892</v>
      </c>
      <c r="I97" s="15">
        <f t="shared" si="3"/>
        <v>2.5430680885972109E-2</v>
      </c>
      <c r="J97" s="15">
        <f t="shared" si="4"/>
        <v>0.85726004922067267</v>
      </c>
      <c r="K97" s="18">
        <f t="shared" si="5"/>
        <v>6.4704958130212494E-4</v>
      </c>
      <c r="L97" s="9" t="str" cm="1">
        <f t="array" ref="L97">_xlfn.IFS(I97&gt;5%,"High Risk",AND(I97&gt;2%,I97&lt;5%),"Modrate Risk",I97&lt;2%, "Low Risk")</f>
        <v>Modrate Risk</v>
      </c>
      <c r="N97"/>
      <c r="O97"/>
      <c r="P97"/>
      <c r="Q97"/>
      <c r="R97"/>
      <c r="S97"/>
      <c r="T97"/>
      <c r="U97"/>
      <c r="V97"/>
      <c r="W97"/>
      <c r="X97"/>
      <c r="Y97"/>
      <c r="Z97"/>
      <c r="AA97"/>
      <c r="AB97"/>
      <c r="AC97"/>
      <c r="AD97"/>
      <c r="AE97"/>
      <c r="AF97"/>
      <c r="AG97"/>
      <c r="AH97"/>
      <c r="AI97"/>
      <c r="AJ97"/>
      <c r="AK97"/>
      <c r="AL97"/>
      <c r="AM97"/>
      <c r="AN97"/>
      <c r="AO97"/>
      <c r="AP97"/>
      <c r="AQ97"/>
      <c r="AR97"/>
      <c r="AS97"/>
      <c r="AT97"/>
      <c r="AU97"/>
      <c r="AV97"/>
      <c r="AW97"/>
      <c r="AX97"/>
      <c r="AY97"/>
      <c r="AZ97"/>
      <c r="BA97"/>
      <c r="BB97"/>
      <c r="BC97"/>
      <c r="BD97"/>
      <c r="BE97"/>
      <c r="BF97"/>
      <c r="BG97"/>
      <c r="BH97"/>
      <c r="BI97"/>
      <c r="BJ97"/>
      <c r="BK97"/>
      <c r="BL97"/>
      <c r="BM97"/>
      <c r="BN97"/>
      <c r="BO97"/>
      <c r="BP97"/>
      <c r="BQ97"/>
      <c r="BR97"/>
      <c r="BS97"/>
      <c r="BT97"/>
      <c r="BU97"/>
      <c r="BV97"/>
      <c r="BW97"/>
      <c r="BX97"/>
      <c r="BY97"/>
      <c r="BZ97"/>
      <c r="CA97"/>
      <c r="CB97"/>
      <c r="CC97"/>
      <c r="CD97"/>
      <c r="CE97"/>
      <c r="CF97"/>
      <c r="CG97"/>
      <c r="CH97"/>
      <c r="CI97"/>
      <c r="CJ97"/>
      <c r="CK97"/>
      <c r="CL97"/>
      <c r="CM97"/>
      <c r="CN97"/>
      <c r="CO97"/>
      <c r="CP97"/>
      <c r="CQ97"/>
      <c r="CR97"/>
      <c r="CS97"/>
      <c r="CT97"/>
      <c r="CU97"/>
      <c r="CV97"/>
      <c r="CW97"/>
      <c r="CX97"/>
      <c r="CY97"/>
      <c r="CZ97"/>
      <c r="DA97"/>
      <c r="DB97"/>
      <c r="DC97"/>
      <c r="DD97"/>
      <c r="DE97"/>
      <c r="DF97"/>
      <c r="DG97"/>
      <c r="DH97"/>
      <c r="DI97"/>
      <c r="DJ97"/>
      <c r="DK97"/>
      <c r="DL97"/>
      <c r="DM97"/>
      <c r="DN97"/>
      <c r="DO97"/>
      <c r="DP97"/>
      <c r="DQ97"/>
      <c r="DR97"/>
      <c r="DS97"/>
      <c r="DT97"/>
      <c r="DU97"/>
      <c r="DV97"/>
      <c r="DW97"/>
      <c r="DX97"/>
      <c r="DY97"/>
      <c r="DZ97"/>
      <c r="EA97"/>
      <c r="EB97"/>
      <c r="EC97"/>
      <c r="ED97"/>
      <c r="EE97"/>
      <c r="EF97"/>
      <c r="EG97"/>
      <c r="EH97"/>
      <c r="EI97"/>
      <c r="EJ97"/>
      <c r="EK97"/>
      <c r="EL97"/>
      <c r="EM97"/>
      <c r="EN97"/>
      <c r="EO97"/>
      <c r="EP97"/>
      <c r="EQ97"/>
      <c r="ER97"/>
      <c r="ES97"/>
      <c r="ET97"/>
      <c r="EU97"/>
      <c r="EV97"/>
      <c r="EW97"/>
      <c r="EX97"/>
      <c r="EY97"/>
      <c r="EZ97"/>
      <c r="FA97"/>
      <c r="FB97"/>
      <c r="FC97"/>
      <c r="FD97"/>
      <c r="FE97"/>
      <c r="FF97"/>
      <c r="FG97"/>
      <c r="FH97"/>
      <c r="FI97"/>
      <c r="FJ97"/>
      <c r="FK97"/>
      <c r="FL97"/>
      <c r="FM97"/>
      <c r="FN97"/>
      <c r="FO97"/>
      <c r="FP97"/>
      <c r="FQ97"/>
      <c r="FR97"/>
      <c r="FS97"/>
      <c r="FT97"/>
      <c r="FU97"/>
      <c r="FV97"/>
      <c r="FW97"/>
      <c r="FX97"/>
      <c r="FY97"/>
      <c r="FZ97"/>
      <c r="GA97"/>
      <c r="GB97"/>
      <c r="GC97"/>
      <c r="GD97"/>
      <c r="GE97"/>
      <c r="GF97"/>
      <c r="GG97"/>
      <c r="GH97"/>
      <c r="GI97"/>
      <c r="GJ97"/>
      <c r="GK97"/>
    </row>
    <row r="98" spans="1:193" ht="18" hidden="1" customHeight="1" x14ac:dyDescent="0.25">
      <c r="A98" s="8" t="s">
        <v>100</v>
      </c>
      <c r="B98" s="8">
        <v>3882</v>
      </c>
      <c r="C98" s="8">
        <v>51</v>
      </c>
      <c r="D98" s="8">
        <v>1709</v>
      </c>
      <c r="E98" s="8">
        <v>2122</v>
      </c>
      <c r="F98" s="8">
        <v>6822220</v>
      </c>
      <c r="G98" s="8" t="s">
        <v>195</v>
      </c>
      <c r="H98" s="1">
        <v>43882</v>
      </c>
      <c r="I98" s="14">
        <f t="shared" si="3"/>
        <v>1.3137557959814529E-2</v>
      </c>
      <c r="J98" s="14">
        <f t="shared" si="4"/>
        <v>0.44023699124162802</v>
      </c>
      <c r="K98" s="17">
        <f t="shared" si="5"/>
        <v>5.6902298665243865E-4</v>
      </c>
      <c r="L98" s="8" t="str" cm="1">
        <f t="array" ref="L98">_xlfn.IFS(I98&gt;5%,"High Risk",AND(I98&gt;2%,I98&lt;5%),"Modrate Risk",I98&lt;2%, "Low Risk")</f>
        <v>Low Risk</v>
      </c>
      <c r="N98"/>
      <c r="O98"/>
      <c r="P98"/>
      <c r="Q98"/>
      <c r="R98"/>
      <c r="S98"/>
      <c r="T98"/>
      <c r="U98"/>
      <c r="V98"/>
      <c r="W98"/>
      <c r="X98"/>
      <c r="Y98"/>
      <c r="Z98"/>
      <c r="AA98"/>
      <c r="AB98"/>
      <c r="AC98"/>
      <c r="AD98"/>
      <c r="AE98"/>
      <c r="AF98"/>
      <c r="AG98"/>
      <c r="AH98"/>
      <c r="AI98"/>
      <c r="AJ98"/>
      <c r="AK98"/>
      <c r="AL98"/>
      <c r="AM98"/>
      <c r="AN98"/>
      <c r="AO98"/>
      <c r="AP98"/>
      <c r="AQ98"/>
      <c r="AR98"/>
      <c r="AS98"/>
      <c r="AT98"/>
      <c r="AU98"/>
      <c r="AV98"/>
      <c r="AW98"/>
      <c r="AX98"/>
      <c r="AY98"/>
      <c r="AZ98"/>
      <c r="BA98"/>
      <c r="BB98"/>
      <c r="BC98"/>
      <c r="BD98"/>
      <c r="BE98"/>
      <c r="BF98"/>
      <c r="BG98"/>
      <c r="BH98"/>
      <c r="BI98"/>
      <c r="BJ98"/>
      <c r="BK98"/>
      <c r="BL98"/>
      <c r="BM98"/>
      <c r="BN98"/>
      <c r="BO98"/>
      <c r="BP98"/>
      <c r="BQ98"/>
      <c r="BR98"/>
      <c r="BS98"/>
      <c r="BT98"/>
      <c r="BU98"/>
      <c r="BV98"/>
      <c r="BW98"/>
      <c r="BX98"/>
      <c r="BY98"/>
      <c r="BZ98"/>
      <c r="CA98"/>
      <c r="CB98"/>
      <c r="CC98"/>
      <c r="CD98"/>
      <c r="CE98"/>
      <c r="CF98"/>
      <c r="CG98"/>
      <c r="CH98"/>
      <c r="CI98"/>
      <c r="CJ98"/>
      <c r="CK98"/>
      <c r="CL98"/>
      <c r="CM98"/>
      <c r="CN98"/>
      <c r="CO98"/>
      <c r="CP98"/>
      <c r="CQ98"/>
      <c r="CR98"/>
      <c r="CS98"/>
      <c r="CT98"/>
      <c r="CU98"/>
      <c r="CV98"/>
      <c r="CW98"/>
      <c r="CX98"/>
      <c r="CY98"/>
      <c r="CZ98"/>
      <c r="DA98"/>
      <c r="DB98"/>
      <c r="DC98"/>
      <c r="DD98"/>
      <c r="DE98"/>
      <c r="DF98"/>
      <c r="DG98"/>
      <c r="DH98"/>
      <c r="DI98"/>
      <c r="DJ98"/>
      <c r="DK98"/>
      <c r="DL98"/>
      <c r="DM98"/>
      <c r="DN98"/>
      <c r="DO98"/>
      <c r="DP98"/>
      <c r="DQ98"/>
      <c r="DR98"/>
      <c r="DS98"/>
      <c r="DT98"/>
      <c r="DU98"/>
      <c r="DV98"/>
      <c r="DW98"/>
      <c r="DX98"/>
      <c r="DY98"/>
      <c r="DZ98"/>
      <c r="EA98"/>
      <c r="EB98"/>
      <c r="EC98"/>
      <c r="ED98"/>
      <c r="EE98"/>
      <c r="EF98"/>
      <c r="EG98"/>
      <c r="EH98"/>
      <c r="EI98"/>
      <c r="EJ98"/>
      <c r="EK98"/>
      <c r="EL98"/>
      <c r="EM98"/>
      <c r="EN98"/>
      <c r="EO98"/>
      <c r="EP98"/>
      <c r="EQ98"/>
      <c r="ER98"/>
      <c r="ES98"/>
      <c r="ET98"/>
      <c r="EU98"/>
      <c r="EV98"/>
      <c r="EW98"/>
      <c r="EX98"/>
      <c r="EY98"/>
      <c r="EZ98"/>
      <c r="FA98"/>
      <c r="FB98"/>
      <c r="FC98"/>
      <c r="FD98"/>
      <c r="FE98"/>
      <c r="FF98"/>
      <c r="FG98"/>
      <c r="FH98"/>
      <c r="FI98"/>
      <c r="FJ98"/>
      <c r="FK98"/>
      <c r="FL98"/>
      <c r="FM98"/>
      <c r="FN98"/>
      <c r="FO98"/>
      <c r="FP98"/>
      <c r="FQ98"/>
      <c r="FR98"/>
      <c r="FS98"/>
      <c r="FT98"/>
      <c r="FU98"/>
      <c r="FV98"/>
      <c r="FW98"/>
      <c r="FX98"/>
      <c r="FY98"/>
      <c r="FZ98"/>
      <c r="GA98"/>
      <c r="GB98"/>
      <c r="GC98"/>
      <c r="GD98"/>
      <c r="GE98"/>
      <c r="GF98"/>
      <c r="GG98"/>
      <c r="GH98"/>
      <c r="GI98"/>
      <c r="GJ98"/>
      <c r="GK98"/>
    </row>
    <row r="99" spans="1:193" ht="18" hidden="1" customHeight="1" x14ac:dyDescent="0.25">
      <c r="A99" s="9" t="s">
        <v>101</v>
      </c>
      <c r="B99" s="9">
        <v>505</v>
      </c>
      <c r="C99" s="9">
        <v>12</v>
      </c>
      <c r="D99" s="9">
        <v>128</v>
      </c>
      <c r="E99" s="9">
        <v>365</v>
      </c>
      <c r="F99" s="9">
        <v>2143943</v>
      </c>
      <c r="G99" s="9" t="s">
        <v>197</v>
      </c>
      <c r="H99" s="10">
        <v>43964</v>
      </c>
      <c r="I99" s="15">
        <f t="shared" si="3"/>
        <v>2.3762376237623763E-2</v>
      </c>
      <c r="J99" s="15">
        <f t="shared" si="4"/>
        <v>0.25346534653465347</v>
      </c>
      <c r="K99" s="18">
        <f t="shared" si="5"/>
        <v>2.3554730699463559E-4</v>
      </c>
      <c r="L99" s="9" t="str" cm="1">
        <f t="array" ref="L99">_xlfn.IFS(I99&gt;5%,"High Risk",AND(I99&gt;2%,I99&lt;5%),"Modrate Risk",I99&lt;2%, "Low Risk")</f>
        <v>Modrate Risk</v>
      </c>
      <c r="N99"/>
      <c r="O99"/>
      <c r="P99"/>
      <c r="Q99"/>
      <c r="R99"/>
      <c r="S99"/>
      <c r="T99"/>
      <c r="U99"/>
      <c r="V99"/>
      <c r="W99"/>
      <c r="X99"/>
      <c r="Y99"/>
      <c r="Z99"/>
      <c r="AA99"/>
      <c r="AB99"/>
      <c r="AC99"/>
      <c r="AD99"/>
      <c r="AE99"/>
      <c r="AF99"/>
      <c r="AG99"/>
      <c r="AH99"/>
      <c r="AI99"/>
      <c r="AJ99"/>
      <c r="AK99"/>
      <c r="AL99"/>
      <c r="AM99"/>
      <c r="AN99"/>
      <c r="AO99"/>
      <c r="AP99"/>
      <c r="AQ99"/>
      <c r="AR99"/>
      <c r="AS99"/>
      <c r="AT99"/>
      <c r="AU99"/>
      <c r="AV99"/>
      <c r="AW99"/>
      <c r="AX99"/>
      <c r="AY99"/>
      <c r="AZ99"/>
      <c r="BA99"/>
      <c r="BB99"/>
      <c r="BC99"/>
      <c r="BD99"/>
      <c r="BE99"/>
      <c r="BF99"/>
      <c r="BG99"/>
      <c r="BH99"/>
      <c r="BI99"/>
      <c r="BJ99"/>
      <c r="BK99"/>
      <c r="BL99"/>
      <c r="BM99"/>
      <c r="BN99"/>
      <c r="BO99"/>
      <c r="BP99"/>
      <c r="BQ99"/>
      <c r="BR99"/>
      <c r="BS99"/>
      <c r="BT99"/>
      <c r="BU99"/>
      <c r="BV99"/>
      <c r="BW99"/>
      <c r="BX99"/>
      <c r="BY99"/>
      <c r="BZ99"/>
      <c r="CA99"/>
      <c r="CB99"/>
      <c r="CC99"/>
      <c r="CD99"/>
      <c r="CE99"/>
      <c r="CF99"/>
      <c r="CG99"/>
      <c r="CH99"/>
      <c r="CI99"/>
      <c r="CJ99"/>
      <c r="CK99"/>
      <c r="CL99"/>
      <c r="CM99"/>
      <c r="CN99"/>
      <c r="CO99"/>
      <c r="CP99"/>
      <c r="CQ99"/>
      <c r="CR99"/>
      <c r="CS99"/>
      <c r="CT99"/>
      <c r="CU99"/>
      <c r="CV99"/>
      <c r="CW99"/>
      <c r="CX99"/>
      <c r="CY99"/>
      <c r="CZ99"/>
      <c r="DA99"/>
      <c r="DB99"/>
      <c r="DC99"/>
      <c r="DD99"/>
      <c r="DE99"/>
      <c r="DF99"/>
      <c r="DG99"/>
      <c r="DH99"/>
      <c r="DI99"/>
      <c r="DJ99"/>
      <c r="DK99"/>
      <c r="DL99"/>
      <c r="DM99"/>
      <c r="DN99"/>
      <c r="DO99"/>
      <c r="DP99"/>
      <c r="DQ99"/>
      <c r="DR99"/>
      <c r="DS99"/>
      <c r="DT99"/>
      <c r="DU99"/>
      <c r="DV99"/>
      <c r="DW99"/>
      <c r="DX99"/>
      <c r="DY99"/>
      <c r="DZ99"/>
      <c r="EA99"/>
      <c r="EB99"/>
      <c r="EC99"/>
      <c r="ED99"/>
      <c r="EE99"/>
      <c r="EF99"/>
      <c r="EG99"/>
      <c r="EH99"/>
      <c r="EI99"/>
      <c r="EJ99"/>
      <c r="EK99"/>
      <c r="EL99"/>
      <c r="EM99"/>
      <c r="EN99"/>
      <c r="EO99"/>
      <c r="EP99"/>
      <c r="EQ99"/>
      <c r="ER99"/>
      <c r="ES99"/>
      <c r="ET99"/>
      <c r="EU99"/>
      <c r="EV99"/>
      <c r="EW99"/>
      <c r="EX99"/>
      <c r="EY99"/>
      <c r="EZ99"/>
      <c r="FA99"/>
      <c r="FB99"/>
      <c r="FC99"/>
      <c r="FD99"/>
      <c r="FE99"/>
      <c r="FF99"/>
      <c r="FG99"/>
      <c r="FH99"/>
      <c r="FI99"/>
      <c r="FJ99"/>
      <c r="FK99"/>
      <c r="FL99"/>
      <c r="FM99"/>
      <c r="FN99"/>
      <c r="FO99"/>
      <c r="FP99"/>
      <c r="FQ99"/>
      <c r="FR99"/>
      <c r="FS99"/>
      <c r="FT99"/>
      <c r="FU99"/>
      <c r="FV99"/>
      <c r="FW99"/>
      <c r="FX99"/>
      <c r="FY99"/>
      <c r="FZ99"/>
      <c r="GA99"/>
      <c r="GB99"/>
      <c r="GC99"/>
      <c r="GD99"/>
      <c r="GE99"/>
      <c r="GF99"/>
      <c r="GG99"/>
      <c r="GH99"/>
      <c r="GI99"/>
      <c r="GJ99"/>
      <c r="GK99"/>
    </row>
    <row r="100" spans="1:193" ht="18" hidden="1" customHeight="1" x14ac:dyDescent="0.25">
      <c r="A100" s="8" t="s">
        <v>102</v>
      </c>
      <c r="B100" s="8">
        <v>1167</v>
      </c>
      <c r="C100" s="8">
        <v>72</v>
      </c>
      <c r="D100" s="8">
        <v>646</v>
      </c>
      <c r="E100" s="8">
        <v>449</v>
      </c>
      <c r="F100" s="8">
        <v>5068618</v>
      </c>
      <c r="G100" s="8" t="s">
        <v>197</v>
      </c>
      <c r="H100" s="1">
        <v>43906</v>
      </c>
      <c r="I100" s="14">
        <f t="shared" si="3"/>
        <v>6.1696658097686374E-2</v>
      </c>
      <c r="J100" s="14">
        <f t="shared" si="4"/>
        <v>0.55355612682090827</v>
      </c>
      <c r="K100" s="17">
        <f t="shared" si="5"/>
        <v>2.3024027456793942E-4</v>
      </c>
      <c r="L100" s="8" t="str" cm="1">
        <f t="array" ref="L100">_xlfn.IFS(I100&gt;5%,"High Risk",AND(I100&gt;2%,I100&lt;5%),"Modrate Risk",I100&lt;2%, "Low Risk")</f>
        <v>High Risk</v>
      </c>
      <c r="N100"/>
      <c r="O100"/>
      <c r="P100"/>
      <c r="Q100"/>
      <c r="R100"/>
      <c r="S100"/>
      <c r="T100"/>
      <c r="U100"/>
      <c r="V100"/>
      <c r="W100"/>
      <c r="X100"/>
      <c r="Y100"/>
      <c r="Z100"/>
      <c r="AA100"/>
      <c r="AB100"/>
      <c r="AC100"/>
      <c r="AD100"/>
      <c r="AE100"/>
      <c r="AF100"/>
      <c r="AG100"/>
      <c r="AH100"/>
      <c r="AI100"/>
      <c r="AJ100"/>
      <c r="AK100"/>
      <c r="AL100"/>
      <c r="AM100"/>
      <c r="AN100"/>
      <c r="AO100"/>
      <c r="AP100"/>
      <c r="AQ100"/>
      <c r="AR100"/>
      <c r="AS100"/>
      <c r="AT100"/>
      <c r="AU100"/>
      <c r="AV100"/>
      <c r="AW100"/>
      <c r="AX100"/>
      <c r="AY100"/>
      <c r="AZ100"/>
      <c r="BA100"/>
      <c r="BB100"/>
      <c r="BC100"/>
      <c r="BD100"/>
      <c r="BE100"/>
      <c r="BF100"/>
      <c r="BG100"/>
      <c r="BH100"/>
      <c r="BI100"/>
      <c r="BJ100"/>
      <c r="BK100"/>
      <c r="BL100"/>
      <c r="BM100"/>
      <c r="BN100"/>
      <c r="BO100"/>
      <c r="BP100"/>
      <c r="BQ100"/>
      <c r="BR100"/>
      <c r="BS100"/>
      <c r="BT100"/>
      <c r="BU100"/>
      <c r="BV100"/>
      <c r="BW100"/>
      <c r="BX100"/>
      <c r="BY100"/>
      <c r="BZ100"/>
      <c r="CA100"/>
      <c r="CB100"/>
      <c r="CC100"/>
      <c r="CD100"/>
      <c r="CE100"/>
      <c r="CF100"/>
      <c r="CG100"/>
      <c r="CH100"/>
      <c r="CI100"/>
      <c r="CJ100"/>
      <c r="CK100"/>
      <c r="CL100"/>
      <c r="CM100"/>
      <c r="CN100"/>
      <c r="CO100"/>
      <c r="CP100"/>
      <c r="CQ100"/>
      <c r="CR100"/>
      <c r="CS100"/>
      <c r="CT100"/>
      <c r="CU100"/>
      <c r="CV100"/>
      <c r="CW100"/>
      <c r="CX100"/>
      <c r="CY100"/>
      <c r="CZ100"/>
      <c r="DA100"/>
      <c r="DB100"/>
      <c r="DC100"/>
      <c r="DD100"/>
      <c r="DE100"/>
      <c r="DF100"/>
      <c r="DG100"/>
      <c r="DH100"/>
      <c r="DI100"/>
      <c r="DJ100"/>
      <c r="DK100"/>
      <c r="DL100"/>
      <c r="DM100"/>
      <c r="DN100"/>
      <c r="DO100"/>
      <c r="DP100"/>
      <c r="DQ100"/>
      <c r="DR100"/>
      <c r="DS100"/>
      <c r="DT100"/>
      <c r="DU100"/>
      <c r="DV100"/>
      <c r="DW100"/>
      <c r="DX100"/>
      <c r="DY100"/>
      <c r="DZ100"/>
      <c r="EA100"/>
      <c r="EB100"/>
      <c r="EC100"/>
      <c r="ED100"/>
      <c r="EE100"/>
      <c r="EF100"/>
      <c r="EG100"/>
      <c r="EH100"/>
      <c r="EI100"/>
      <c r="EJ100"/>
      <c r="EK100"/>
      <c r="EL100"/>
      <c r="EM100"/>
      <c r="EN100"/>
      <c r="EO100"/>
      <c r="EP100"/>
      <c r="EQ100"/>
      <c r="ER100"/>
      <c r="ES100"/>
      <c r="ET100"/>
      <c r="EU100"/>
      <c r="EV100"/>
      <c r="EW100"/>
      <c r="EX100"/>
      <c r="EY100"/>
      <c r="EZ100"/>
      <c r="FA100"/>
      <c r="FB100"/>
      <c r="FC100"/>
      <c r="FD100"/>
      <c r="FE100"/>
      <c r="FF100"/>
      <c r="FG100"/>
      <c r="FH100"/>
      <c r="FI100"/>
      <c r="FJ100"/>
      <c r="FK100"/>
      <c r="FL100"/>
      <c r="FM100"/>
      <c r="FN100"/>
      <c r="FO100"/>
      <c r="FP100"/>
      <c r="FQ100"/>
      <c r="FR100"/>
      <c r="FS100"/>
      <c r="FT100"/>
      <c r="FU100"/>
      <c r="FV100"/>
      <c r="FW100"/>
      <c r="FX100"/>
      <c r="FY100"/>
      <c r="FZ100"/>
      <c r="GA100"/>
      <c r="GB100"/>
      <c r="GC100"/>
      <c r="GD100"/>
      <c r="GE100"/>
      <c r="GF100"/>
      <c r="GG100"/>
      <c r="GH100"/>
      <c r="GI100"/>
      <c r="GJ100"/>
      <c r="GK100"/>
    </row>
    <row r="101" spans="1:193" ht="18" hidden="1" customHeight="1" x14ac:dyDescent="0.25">
      <c r="A101" s="9" t="s">
        <v>103</v>
      </c>
      <c r="B101" s="9">
        <v>2827</v>
      </c>
      <c r="C101" s="9">
        <v>64</v>
      </c>
      <c r="D101" s="9">
        <v>577</v>
      </c>
      <c r="E101" s="9">
        <v>2186</v>
      </c>
      <c r="F101" s="9">
        <v>6880353</v>
      </c>
      <c r="G101" s="9" t="s">
        <v>197</v>
      </c>
      <c r="H101" s="10">
        <v>43914</v>
      </c>
      <c r="I101" s="15">
        <f t="shared" si="3"/>
        <v>2.2638839759462327E-2</v>
      </c>
      <c r="J101" s="15">
        <f t="shared" si="4"/>
        <v>0.20410328970640254</v>
      </c>
      <c r="K101" s="18">
        <f t="shared" si="5"/>
        <v>4.1088008129815432E-4</v>
      </c>
      <c r="L101" s="9" t="str" cm="1">
        <f t="array" ref="L101">_xlfn.IFS(I101&gt;5%,"High Risk",AND(I101&gt;2%,I101&lt;5%),"Modrate Risk",I101&lt;2%, "Low Risk")</f>
        <v>Modrate Risk</v>
      </c>
      <c r="N101"/>
      <c r="O101"/>
      <c r="P101"/>
      <c r="Q101"/>
      <c r="R101"/>
      <c r="S101"/>
      <c r="T101"/>
      <c r="U101"/>
      <c r="V101"/>
      <c r="W101"/>
      <c r="X101"/>
      <c r="Y101"/>
      <c r="Z101"/>
      <c r="AA101"/>
      <c r="AB101"/>
      <c r="AC101"/>
      <c r="AD101"/>
      <c r="AE101"/>
      <c r="AF101"/>
      <c r="AG101"/>
      <c r="AH101"/>
      <c r="AI101"/>
      <c r="AJ101"/>
      <c r="AK101"/>
      <c r="AL101"/>
      <c r="AM101"/>
      <c r="AN101"/>
      <c r="AO101"/>
      <c r="AP101"/>
      <c r="AQ101"/>
      <c r="AR101"/>
      <c r="AS101"/>
      <c r="AT101"/>
      <c r="AU101"/>
      <c r="AV101"/>
      <c r="AW101"/>
      <c r="AX101"/>
      <c r="AY101"/>
      <c r="AZ101"/>
      <c r="BA101"/>
      <c r="BB101"/>
      <c r="BC101"/>
      <c r="BD101"/>
      <c r="BE101"/>
      <c r="BF101"/>
      <c r="BG101"/>
      <c r="BH101"/>
      <c r="BI101"/>
      <c r="BJ101"/>
      <c r="BK101"/>
      <c r="BL101"/>
      <c r="BM101"/>
      <c r="BN101"/>
      <c r="BO101"/>
      <c r="BP101"/>
      <c r="BQ101"/>
      <c r="BR101"/>
      <c r="BS101"/>
      <c r="BT101"/>
      <c r="BU101"/>
      <c r="BV101"/>
      <c r="BW101"/>
      <c r="BX101"/>
      <c r="BY101"/>
      <c r="BZ101"/>
      <c r="CA101"/>
      <c r="CB101"/>
      <c r="CC101"/>
      <c r="CD101"/>
      <c r="CE101"/>
      <c r="CF101"/>
      <c r="CG101"/>
      <c r="CH101"/>
      <c r="CI101"/>
      <c r="CJ101"/>
      <c r="CK101"/>
      <c r="CL101"/>
      <c r="CM101"/>
      <c r="CN101"/>
      <c r="CO101"/>
      <c r="CP101"/>
      <c r="CQ101"/>
      <c r="CR101"/>
      <c r="CS101"/>
      <c r="CT101"/>
      <c r="CU101"/>
      <c r="CV101"/>
      <c r="CW101"/>
      <c r="CX101"/>
      <c r="CY101"/>
      <c r="CZ101"/>
      <c r="DA101"/>
      <c r="DB101"/>
      <c r="DC101"/>
      <c r="DD101"/>
      <c r="DE101"/>
      <c r="DF101"/>
      <c r="DG101"/>
      <c r="DH101"/>
      <c r="DI101"/>
      <c r="DJ101"/>
      <c r="DK101"/>
      <c r="DL101"/>
      <c r="DM101"/>
      <c r="DN101"/>
      <c r="DO101"/>
      <c r="DP101"/>
      <c r="DQ101"/>
      <c r="DR101"/>
      <c r="DS101"/>
      <c r="DT101"/>
      <c r="DU101"/>
      <c r="DV101"/>
      <c r="DW101"/>
      <c r="DX101"/>
      <c r="DY101"/>
      <c r="DZ101"/>
      <c r="EA101"/>
      <c r="EB101"/>
      <c r="EC101"/>
      <c r="ED101"/>
      <c r="EE101"/>
      <c r="EF101"/>
      <c r="EG101"/>
      <c r="EH101"/>
      <c r="EI101"/>
      <c r="EJ101"/>
      <c r="EK101"/>
      <c r="EL101"/>
      <c r="EM101"/>
      <c r="EN101"/>
      <c r="EO101"/>
      <c r="EP101"/>
      <c r="EQ101"/>
      <c r="ER101"/>
      <c r="ES101"/>
      <c r="ET101"/>
      <c r="EU101"/>
      <c r="EV101"/>
      <c r="EW101"/>
      <c r="EX101"/>
      <c r="EY101"/>
      <c r="EZ101"/>
      <c r="FA101"/>
      <c r="FB101"/>
      <c r="FC101"/>
      <c r="FD101"/>
      <c r="FE101"/>
      <c r="FF101"/>
      <c r="FG101"/>
      <c r="FH101"/>
      <c r="FI101"/>
      <c r="FJ101"/>
      <c r="FK101"/>
      <c r="FL101"/>
      <c r="FM101"/>
      <c r="FN101"/>
      <c r="FO101"/>
      <c r="FP101"/>
      <c r="FQ101"/>
      <c r="FR101"/>
      <c r="FS101"/>
      <c r="FT101"/>
      <c r="FU101"/>
      <c r="FV101"/>
      <c r="FW101"/>
      <c r="FX101"/>
      <c r="FY101"/>
      <c r="FZ101"/>
      <c r="GA101"/>
      <c r="GB101"/>
      <c r="GC101"/>
      <c r="GD101"/>
      <c r="GE101"/>
      <c r="GF101"/>
      <c r="GG101"/>
      <c r="GH101"/>
      <c r="GI101"/>
      <c r="GJ101"/>
      <c r="GK101"/>
    </row>
    <row r="102" spans="1:193" ht="18" hidden="1" customHeight="1" x14ac:dyDescent="0.25">
      <c r="A102" s="8" t="s">
        <v>104</v>
      </c>
      <c r="B102" s="8">
        <v>86</v>
      </c>
      <c r="C102" s="8">
        <v>1</v>
      </c>
      <c r="D102" s="8">
        <v>81</v>
      </c>
      <c r="E102" s="8">
        <v>4</v>
      </c>
      <c r="F102" s="8">
        <v>38139</v>
      </c>
      <c r="G102" s="8" t="s">
        <v>196</v>
      </c>
      <c r="H102" s="1">
        <v>43893</v>
      </c>
      <c r="I102" s="14">
        <f t="shared" si="3"/>
        <v>1.1627906976744186E-2</v>
      </c>
      <c r="J102" s="14">
        <f t="shared" si="4"/>
        <v>0.94186046511627908</v>
      </c>
      <c r="K102" s="17">
        <f t="shared" si="5"/>
        <v>2.2549096725136999E-3</v>
      </c>
      <c r="L102" s="8" t="str" cm="1">
        <f t="array" ref="L102">_xlfn.IFS(I102&gt;5%,"High Risk",AND(I102&gt;2%,I102&lt;5%),"Modrate Risk",I102&lt;2%, "Low Risk")</f>
        <v>Low Risk</v>
      </c>
      <c r="N102"/>
      <c r="O102"/>
      <c r="P102"/>
      <c r="Q102"/>
      <c r="R102"/>
      <c r="S102"/>
      <c r="T102"/>
      <c r="U102"/>
      <c r="V102"/>
      <c r="W102"/>
      <c r="X102"/>
      <c r="Y102"/>
      <c r="Z102"/>
      <c r="AA102"/>
      <c r="AB102"/>
      <c r="AC102"/>
      <c r="AD102"/>
      <c r="AE102"/>
      <c r="AF102"/>
      <c r="AG102"/>
      <c r="AH102"/>
      <c r="AI102"/>
      <c r="AJ102"/>
      <c r="AK102"/>
      <c r="AL102"/>
      <c r="AM102"/>
      <c r="AN102"/>
      <c r="AO102"/>
      <c r="AP102"/>
      <c r="AQ102"/>
      <c r="AR102"/>
      <c r="AS102"/>
      <c r="AT102"/>
      <c r="AU102"/>
      <c r="AV102"/>
      <c r="AW102"/>
      <c r="AX102"/>
      <c r="AY102"/>
      <c r="AZ102"/>
      <c r="BA102"/>
      <c r="BB102"/>
      <c r="BC102"/>
      <c r="BD102"/>
      <c r="BE102"/>
      <c r="BF102"/>
      <c r="BG102"/>
      <c r="BH102"/>
      <c r="BI102"/>
      <c r="BJ102"/>
      <c r="BK102"/>
      <c r="BL102"/>
      <c r="BM102"/>
      <c r="BN102"/>
      <c r="BO102"/>
      <c r="BP102"/>
      <c r="BQ102"/>
      <c r="BR102"/>
      <c r="BS102"/>
      <c r="BT102"/>
      <c r="BU102"/>
      <c r="BV102"/>
      <c r="BW102"/>
      <c r="BX102"/>
      <c r="BY102"/>
      <c r="BZ102"/>
      <c r="CA102"/>
      <c r="CB102"/>
      <c r="CC102"/>
      <c r="CD102"/>
      <c r="CE102"/>
      <c r="CF102"/>
      <c r="CG102"/>
      <c r="CH102"/>
      <c r="CI102"/>
      <c r="CJ102"/>
      <c r="CK102"/>
      <c r="CL102"/>
      <c r="CM102"/>
      <c r="CN102"/>
      <c r="CO102"/>
      <c r="CP102"/>
      <c r="CQ102"/>
      <c r="CR102"/>
      <c r="CS102"/>
      <c r="CT102"/>
      <c r="CU102"/>
      <c r="CV102"/>
      <c r="CW102"/>
      <c r="CX102"/>
      <c r="CY102"/>
      <c r="CZ102"/>
      <c r="DA102"/>
      <c r="DB102"/>
      <c r="DC102"/>
      <c r="DD102"/>
      <c r="DE102"/>
      <c r="DF102"/>
      <c r="DG102"/>
      <c r="DH102"/>
      <c r="DI102"/>
      <c r="DJ102"/>
      <c r="DK102"/>
      <c r="DL102"/>
      <c r="DM102"/>
      <c r="DN102"/>
      <c r="DO102"/>
      <c r="DP102"/>
      <c r="DQ102"/>
      <c r="DR102"/>
      <c r="DS102"/>
      <c r="DT102"/>
      <c r="DU102"/>
      <c r="DV102"/>
      <c r="DW102"/>
      <c r="DX102"/>
      <c r="DY102"/>
      <c r="DZ102"/>
      <c r="EA102"/>
      <c r="EB102"/>
      <c r="EC102"/>
      <c r="ED102"/>
      <c r="EE102"/>
      <c r="EF102"/>
      <c r="EG102"/>
      <c r="EH102"/>
      <c r="EI102"/>
      <c r="EJ102"/>
      <c r="EK102"/>
      <c r="EL102"/>
      <c r="EM102"/>
      <c r="EN102"/>
      <c r="EO102"/>
      <c r="EP102"/>
      <c r="EQ102"/>
      <c r="ER102"/>
      <c r="ES102"/>
      <c r="ET102"/>
      <c r="EU102"/>
      <c r="EV102"/>
      <c r="EW102"/>
      <c r="EX102"/>
      <c r="EY102"/>
      <c r="EZ102"/>
      <c r="FA102"/>
      <c r="FB102"/>
      <c r="FC102"/>
      <c r="FD102"/>
      <c r="FE102"/>
      <c r="FF102"/>
      <c r="FG102"/>
      <c r="FH102"/>
      <c r="FI102"/>
      <c r="FJ102"/>
      <c r="FK102"/>
      <c r="FL102"/>
      <c r="FM102"/>
      <c r="FN102"/>
      <c r="FO102"/>
      <c r="FP102"/>
      <c r="FQ102"/>
      <c r="FR102"/>
      <c r="FS102"/>
      <c r="FT102"/>
      <c r="FU102"/>
      <c r="FV102"/>
      <c r="FW102"/>
      <c r="FX102"/>
      <c r="FY102"/>
      <c r="FZ102"/>
      <c r="GA102"/>
      <c r="GB102"/>
      <c r="GC102"/>
      <c r="GD102"/>
      <c r="GE102"/>
      <c r="GF102"/>
      <c r="GG102"/>
      <c r="GH102"/>
      <c r="GI102"/>
      <c r="GJ102"/>
      <c r="GK102"/>
    </row>
    <row r="103" spans="1:193" ht="18" hidden="1" customHeight="1" x14ac:dyDescent="0.25">
      <c r="A103" s="9" t="s">
        <v>105</v>
      </c>
      <c r="B103" s="9">
        <v>2019</v>
      </c>
      <c r="C103" s="9">
        <v>80</v>
      </c>
      <c r="D103" s="9">
        <v>1620</v>
      </c>
      <c r="E103" s="9">
        <v>319</v>
      </c>
      <c r="F103" s="9">
        <v>2718121</v>
      </c>
      <c r="G103" s="9" t="s">
        <v>196</v>
      </c>
      <c r="H103" s="10">
        <v>43889</v>
      </c>
      <c r="I103" s="15">
        <f t="shared" si="3"/>
        <v>3.9623576027736501E-2</v>
      </c>
      <c r="J103" s="15">
        <f t="shared" si="4"/>
        <v>0.80237741456166423</v>
      </c>
      <c r="K103" s="18">
        <f t="shared" si="5"/>
        <v>7.4279253940497862E-4</v>
      </c>
      <c r="L103" s="9" t="str" cm="1">
        <f t="array" ref="L103">_xlfn.IFS(I103&gt;5%,"High Risk",AND(I103&gt;2%,I103&lt;5%),"Modrate Risk",I103&lt;2%, "Low Risk")</f>
        <v>Modrate Risk</v>
      </c>
      <c r="N103"/>
      <c r="O103"/>
      <c r="P103"/>
      <c r="Q103"/>
      <c r="R103"/>
      <c r="S103"/>
      <c r="T103"/>
      <c r="U103"/>
      <c r="V103"/>
      <c r="W103"/>
      <c r="X103"/>
      <c r="Y103"/>
      <c r="Z103"/>
      <c r="AA103"/>
      <c r="AB103"/>
      <c r="AC103"/>
      <c r="AD103"/>
      <c r="AE103"/>
      <c r="AF103"/>
      <c r="AG103"/>
      <c r="AH103"/>
      <c r="AI103"/>
      <c r="AJ103"/>
      <c r="AK103"/>
      <c r="AL103"/>
      <c r="AM103"/>
      <c r="AN103"/>
      <c r="AO103"/>
      <c r="AP103"/>
      <c r="AQ103"/>
      <c r="AR103"/>
      <c r="AS103"/>
      <c r="AT103"/>
      <c r="AU103"/>
      <c r="AV103"/>
      <c r="AW103"/>
      <c r="AX103"/>
      <c r="AY103"/>
      <c r="AZ103"/>
      <c r="BA103"/>
      <c r="BB103"/>
      <c r="BC103"/>
      <c r="BD103"/>
      <c r="BE103"/>
      <c r="BF103"/>
      <c r="BG103"/>
      <c r="BH103"/>
      <c r="BI103"/>
      <c r="BJ103"/>
      <c r="BK103"/>
      <c r="BL103"/>
      <c r="BM103"/>
      <c r="BN103"/>
      <c r="BO103"/>
      <c r="BP103"/>
      <c r="BQ103"/>
      <c r="BR103"/>
      <c r="BS103"/>
      <c r="BT103"/>
      <c r="BU103"/>
      <c r="BV103"/>
      <c r="BW103"/>
      <c r="BX103"/>
      <c r="BY103"/>
      <c r="BZ103"/>
      <c r="CA103"/>
      <c r="CB103"/>
      <c r="CC103"/>
      <c r="CD103"/>
      <c r="CE103"/>
      <c r="CF103"/>
      <c r="CG103"/>
      <c r="CH103"/>
      <c r="CI103"/>
      <c r="CJ103"/>
      <c r="CK103"/>
      <c r="CL103"/>
      <c r="CM103"/>
      <c r="CN103"/>
      <c r="CO103"/>
      <c r="CP103"/>
      <c r="CQ103"/>
      <c r="CR103"/>
      <c r="CS103"/>
      <c r="CT103"/>
      <c r="CU103"/>
      <c r="CV103"/>
      <c r="CW103"/>
      <c r="CX103"/>
      <c r="CY103"/>
      <c r="CZ103"/>
      <c r="DA103"/>
      <c r="DB103"/>
      <c r="DC103"/>
      <c r="DD103"/>
      <c r="DE103"/>
      <c r="DF103"/>
      <c r="DG103"/>
      <c r="DH103"/>
      <c r="DI103"/>
      <c r="DJ103"/>
      <c r="DK103"/>
      <c r="DL103"/>
      <c r="DM103"/>
      <c r="DN103"/>
      <c r="DO103"/>
      <c r="DP103"/>
      <c r="DQ103"/>
      <c r="DR103"/>
      <c r="DS103"/>
      <c r="DT103"/>
      <c r="DU103"/>
      <c r="DV103"/>
      <c r="DW103"/>
      <c r="DX103"/>
      <c r="DY103"/>
      <c r="DZ103"/>
      <c r="EA103"/>
      <c r="EB103"/>
      <c r="EC103"/>
      <c r="ED103"/>
      <c r="EE103"/>
      <c r="EF103"/>
      <c r="EG103"/>
      <c r="EH103"/>
      <c r="EI103"/>
      <c r="EJ103"/>
      <c r="EK103"/>
      <c r="EL103"/>
      <c r="EM103"/>
      <c r="EN103"/>
      <c r="EO103"/>
      <c r="EP103"/>
      <c r="EQ103"/>
      <c r="ER103"/>
      <c r="ES103"/>
      <c r="ET103"/>
      <c r="EU103"/>
      <c r="EV103"/>
      <c r="EW103"/>
      <c r="EX103"/>
      <c r="EY103"/>
      <c r="EZ103"/>
      <c r="FA103"/>
      <c r="FB103"/>
      <c r="FC103"/>
      <c r="FD103"/>
      <c r="FE103"/>
      <c r="FF103"/>
      <c r="FG103"/>
      <c r="FH103"/>
      <c r="FI103"/>
      <c r="FJ103"/>
      <c r="FK103"/>
      <c r="FL103"/>
      <c r="FM103"/>
      <c r="FN103"/>
      <c r="FO103"/>
      <c r="FP103"/>
      <c r="FQ103"/>
      <c r="FR103"/>
      <c r="FS103"/>
      <c r="FT103"/>
      <c r="FU103"/>
      <c r="FV103"/>
      <c r="FW103"/>
      <c r="FX103"/>
      <c r="FY103"/>
      <c r="FZ103"/>
      <c r="GA103"/>
      <c r="GB103"/>
      <c r="GC103"/>
      <c r="GD103"/>
      <c r="GE103"/>
      <c r="GF103"/>
      <c r="GG103"/>
      <c r="GH103"/>
      <c r="GI103"/>
      <c r="GJ103"/>
      <c r="GK103"/>
    </row>
    <row r="104" spans="1:193" ht="18" hidden="1" customHeight="1" x14ac:dyDescent="0.25">
      <c r="A104" s="8" t="s">
        <v>106</v>
      </c>
      <c r="B104" s="8">
        <v>6321</v>
      </c>
      <c r="C104" s="8">
        <v>112</v>
      </c>
      <c r="D104" s="8">
        <v>4825</v>
      </c>
      <c r="E104" s="8">
        <v>1384</v>
      </c>
      <c r="F104" s="8">
        <v>626952</v>
      </c>
      <c r="G104" s="8" t="s">
        <v>196</v>
      </c>
      <c r="H104" s="1">
        <v>43890</v>
      </c>
      <c r="I104" s="14">
        <f t="shared" si="3"/>
        <v>1.7718715393133997E-2</v>
      </c>
      <c r="J104" s="14">
        <f t="shared" si="4"/>
        <v>0.763328587248853</v>
      </c>
      <c r="K104" s="17">
        <f t="shared" si="5"/>
        <v>1.0082111549209509E-2</v>
      </c>
      <c r="L104" s="8" t="str" cm="1">
        <f t="array" ref="L104">_xlfn.IFS(I104&gt;5%,"High Risk",AND(I104&gt;2%,I104&lt;5%),"Modrate Risk",I104&lt;2%, "Low Risk")</f>
        <v>Low Risk</v>
      </c>
      <c r="N104"/>
      <c r="O104"/>
      <c r="P104"/>
      <c r="Q104"/>
      <c r="R104"/>
      <c r="S104"/>
      <c r="T104"/>
      <c r="U104"/>
      <c r="V104"/>
      <c r="W104"/>
      <c r="X104"/>
      <c r="Y104"/>
      <c r="Z104"/>
      <c r="AA104"/>
      <c r="AB104"/>
      <c r="AC104"/>
      <c r="AD104"/>
      <c r="AE104"/>
      <c r="AF104"/>
      <c r="AG104"/>
      <c r="AH104"/>
      <c r="AI104"/>
      <c r="AJ104"/>
      <c r="AK104"/>
      <c r="AL104"/>
      <c r="AM104"/>
      <c r="AN104"/>
      <c r="AO104"/>
      <c r="AP104"/>
      <c r="AQ104"/>
      <c r="AR104"/>
      <c r="AS104"/>
      <c r="AT104"/>
      <c r="AU104"/>
      <c r="AV104"/>
      <c r="AW104"/>
      <c r="AX104"/>
      <c r="AY104"/>
      <c r="AZ104"/>
      <c r="BA104"/>
      <c r="BB104"/>
      <c r="BC104"/>
      <c r="BD104"/>
      <c r="BE104"/>
      <c r="BF104"/>
      <c r="BG104"/>
      <c r="BH104"/>
      <c r="BI104"/>
      <c r="BJ104"/>
      <c r="BK104"/>
      <c r="BL104"/>
      <c r="BM104"/>
      <c r="BN104"/>
      <c r="BO104"/>
      <c r="BP104"/>
      <c r="BQ104"/>
      <c r="BR104"/>
      <c r="BS104"/>
      <c r="BT104"/>
      <c r="BU104"/>
      <c r="BV104"/>
      <c r="BW104"/>
      <c r="BX104"/>
      <c r="BY104"/>
      <c r="BZ104"/>
      <c r="CA104"/>
      <c r="CB104"/>
      <c r="CC104"/>
      <c r="CD104"/>
      <c r="CE104"/>
      <c r="CF104"/>
      <c r="CG104"/>
      <c r="CH104"/>
      <c r="CI104"/>
      <c r="CJ104"/>
      <c r="CK104"/>
      <c r="CL104"/>
      <c r="CM104"/>
      <c r="CN104"/>
      <c r="CO104"/>
      <c r="CP104"/>
      <c r="CQ104"/>
      <c r="CR104"/>
      <c r="CS104"/>
      <c r="CT104"/>
      <c r="CU104"/>
      <c r="CV104"/>
      <c r="CW104"/>
      <c r="CX104"/>
      <c r="CY104"/>
      <c r="CZ104"/>
      <c r="DA104"/>
      <c r="DB104"/>
      <c r="DC104"/>
      <c r="DD104"/>
      <c r="DE104"/>
      <c r="DF104"/>
      <c r="DG104"/>
      <c r="DH104"/>
      <c r="DI104"/>
      <c r="DJ104"/>
      <c r="DK104"/>
      <c r="DL104"/>
      <c r="DM104"/>
      <c r="DN104"/>
      <c r="DO104"/>
      <c r="DP104"/>
      <c r="DQ104"/>
      <c r="DR104"/>
      <c r="DS104"/>
      <c r="DT104"/>
      <c r="DU104"/>
      <c r="DV104"/>
      <c r="DW104"/>
      <c r="DX104"/>
      <c r="DY104"/>
      <c r="DZ104"/>
      <c r="EA104"/>
      <c r="EB104"/>
      <c r="EC104"/>
      <c r="ED104"/>
      <c r="EE104"/>
      <c r="EF104"/>
      <c r="EG104"/>
      <c r="EH104"/>
      <c r="EI104"/>
      <c r="EJ104"/>
      <c r="EK104"/>
      <c r="EL104"/>
      <c r="EM104"/>
      <c r="EN104"/>
      <c r="EO104"/>
      <c r="EP104"/>
      <c r="EQ104"/>
      <c r="ER104"/>
      <c r="ES104"/>
      <c r="ET104"/>
      <c r="EU104"/>
      <c r="EV104"/>
      <c r="EW104"/>
      <c r="EX104"/>
      <c r="EY104"/>
      <c r="EZ104"/>
      <c r="FA104"/>
      <c r="FB104"/>
      <c r="FC104"/>
      <c r="FD104"/>
      <c r="FE104"/>
      <c r="FF104"/>
      <c r="FG104"/>
      <c r="FH104"/>
      <c r="FI104"/>
      <c r="FJ104"/>
      <c r="FK104"/>
      <c r="FL104"/>
      <c r="FM104"/>
      <c r="FN104"/>
      <c r="FO104"/>
      <c r="FP104"/>
      <c r="FQ104"/>
      <c r="FR104"/>
      <c r="FS104"/>
      <c r="FT104"/>
      <c r="FU104"/>
      <c r="FV104"/>
      <c r="FW104"/>
      <c r="FX104"/>
      <c r="FY104"/>
      <c r="FZ104"/>
      <c r="GA104"/>
      <c r="GB104"/>
      <c r="GC104"/>
      <c r="GD104"/>
      <c r="GE104"/>
      <c r="GF104"/>
      <c r="GG104"/>
      <c r="GH104"/>
      <c r="GI104"/>
      <c r="GJ104"/>
      <c r="GK104"/>
    </row>
    <row r="105" spans="1:193" ht="18" hidden="1" customHeight="1" x14ac:dyDescent="0.25">
      <c r="A105" s="9" t="s">
        <v>107</v>
      </c>
      <c r="B105" s="9">
        <v>9690</v>
      </c>
      <c r="C105" s="9">
        <v>91</v>
      </c>
      <c r="D105" s="9">
        <v>6260</v>
      </c>
      <c r="E105" s="9">
        <v>3339</v>
      </c>
      <c r="F105" s="9">
        <v>27755708</v>
      </c>
      <c r="G105" s="9" t="s">
        <v>197</v>
      </c>
      <c r="H105" s="10">
        <v>43910</v>
      </c>
      <c r="I105" s="15">
        <f t="shared" si="3"/>
        <v>9.3911248710010324E-3</v>
      </c>
      <c r="J105" s="15">
        <f t="shared" si="4"/>
        <v>0.6460268317853457</v>
      </c>
      <c r="K105" s="18">
        <f t="shared" si="5"/>
        <v>3.491173779461868E-4</v>
      </c>
      <c r="L105" s="9" t="str" cm="1">
        <f t="array" ref="L105">_xlfn.IFS(I105&gt;5%,"High Risk",AND(I105&gt;2%,I105&lt;5%),"Modrate Risk",I105&lt;2%, "Low Risk")</f>
        <v>Low Risk</v>
      </c>
      <c r="N105"/>
      <c r="O105"/>
      <c r="P105"/>
      <c r="Q105"/>
      <c r="R105"/>
      <c r="S105"/>
      <c r="T105"/>
      <c r="U105"/>
      <c r="V105"/>
      <c r="W105"/>
      <c r="X105"/>
      <c r="Y105"/>
      <c r="Z105"/>
      <c r="AA105"/>
      <c r="AB105"/>
      <c r="AC105"/>
      <c r="AD105"/>
      <c r="AE105"/>
      <c r="AF105"/>
      <c r="AG105"/>
      <c r="AH105"/>
      <c r="AI105"/>
      <c r="AJ105"/>
      <c r="AK105"/>
      <c r="AL105"/>
      <c r="AM105"/>
      <c r="AN105"/>
      <c r="AO105"/>
      <c r="AP105"/>
      <c r="AQ105"/>
      <c r="AR105"/>
      <c r="AS105"/>
      <c r="AT105"/>
      <c r="AU105"/>
      <c r="AV105"/>
      <c r="AW105"/>
      <c r="AX105"/>
      <c r="AY105"/>
      <c r="AZ105"/>
      <c r="BA105"/>
      <c r="BB105"/>
      <c r="BC105"/>
      <c r="BD105"/>
      <c r="BE105"/>
      <c r="BF105"/>
      <c r="BG105"/>
      <c r="BH105"/>
      <c r="BI105"/>
      <c r="BJ105"/>
      <c r="BK105"/>
      <c r="BL105"/>
      <c r="BM105"/>
      <c r="BN105"/>
      <c r="BO105"/>
      <c r="BP105"/>
      <c r="BQ105"/>
      <c r="BR105"/>
      <c r="BS105"/>
      <c r="BT105"/>
      <c r="BU105"/>
      <c r="BV105"/>
      <c r="BW105"/>
      <c r="BX105"/>
      <c r="BY105"/>
      <c r="BZ105"/>
      <c r="CA105"/>
      <c r="CB105"/>
      <c r="CC105"/>
      <c r="CD105"/>
      <c r="CE105"/>
      <c r="CF105"/>
      <c r="CG105"/>
      <c r="CH105"/>
      <c r="CI105"/>
      <c r="CJ105"/>
      <c r="CK105"/>
      <c r="CL105"/>
      <c r="CM105"/>
      <c r="CN105"/>
      <c r="CO105"/>
      <c r="CP105"/>
      <c r="CQ105"/>
      <c r="CR105"/>
      <c r="CS105"/>
      <c r="CT105"/>
      <c r="CU105"/>
      <c r="CV105"/>
      <c r="CW105"/>
      <c r="CX105"/>
      <c r="CY105"/>
      <c r="CZ105"/>
      <c r="DA105"/>
      <c r="DB105"/>
      <c r="DC105"/>
      <c r="DD105"/>
      <c r="DE105"/>
      <c r="DF105"/>
      <c r="DG105"/>
      <c r="DH105"/>
      <c r="DI105"/>
      <c r="DJ105"/>
      <c r="DK105"/>
      <c r="DL105"/>
      <c r="DM105"/>
      <c r="DN105"/>
      <c r="DO105"/>
      <c r="DP105"/>
      <c r="DQ105"/>
      <c r="DR105"/>
      <c r="DS105"/>
      <c r="DT105"/>
      <c r="DU105"/>
      <c r="DV105"/>
      <c r="DW105"/>
      <c r="DX105"/>
      <c r="DY105"/>
      <c r="DZ105"/>
      <c r="EA105"/>
      <c r="EB105"/>
      <c r="EC105"/>
      <c r="ED105"/>
      <c r="EE105"/>
      <c r="EF105"/>
      <c r="EG105"/>
      <c r="EH105"/>
      <c r="EI105"/>
      <c r="EJ105"/>
      <c r="EK105"/>
      <c r="EL105"/>
      <c r="EM105"/>
      <c r="EN105"/>
      <c r="EO105"/>
      <c r="EP105"/>
      <c r="EQ105"/>
      <c r="ER105"/>
      <c r="ES105"/>
      <c r="ET105"/>
      <c r="EU105"/>
      <c r="EV105"/>
      <c r="EW105"/>
      <c r="EX105"/>
      <c r="EY105"/>
      <c r="EZ105"/>
      <c r="FA105"/>
      <c r="FB105"/>
      <c r="FC105"/>
      <c r="FD105"/>
      <c r="FE105"/>
      <c r="FF105"/>
      <c r="FG105"/>
      <c r="FH105"/>
      <c r="FI105"/>
      <c r="FJ105"/>
      <c r="FK105"/>
      <c r="FL105"/>
      <c r="FM105"/>
      <c r="FN105"/>
      <c r="FO105"/>
      <c r="FP105"/>
      <c r="FQ105"/>
      <c r="FR105"/>
      <c r="FS105"/>
      <c r="FT105"/>
      <c r="FU105"/>
      <c r="FV105"/>
      <c r="FW105"/>
      <c r="FX105"/>
      <c r="FY105"/>
      <c r="FZ105"/>
      <c r="GA105"/>
      <c r="GB105"/>
      <c r="GC105"/>
      <c r="GD105"/>
      <c r="GE105"/>
      <c r="GF105"/>
      <c r="GG105"/>
      <c r="GH105"/>
      <c r="GI105"/>
      <c r="GJ105"/>
      <c r="GK105"/>
    </row>
    <row r="106" spans="1:193" ht="18" hidden="1" customHeight="1" x14ac:dyDescent="0.25">
      <c r="A106" s="8" t="s">
        <v>108</v>
      </c>
      <c r="B106" s="8">
        <v>3664</v>
      </c>
      <c r="C106" s="8">
        <v>99</v>
      </c>
      <c r="D106" s="8">
        <v>1645</v>
      </c>
      <c r="E106" s="8">
        <v>1920</v>
      </c>
      <c r="F106" s="8">
        <v>19174839</v>
      </c>
      <c r="G106" s="8" t="s">
        <v>197</v>
      </c>
      <c r="H106" s="1">
        <v>43922</v>
      </c>
      <c r="I106" s="14">
        <f t="shared" si="3"/>
        <v>2.7019650655021835E-2</v>
      </c>
      <c r="J106" s="14">
        <f t="shared" si="4"/>
        <v>0.44896288209606988</v>
      </c>
      <c r="K106" s="17">
        <f t="shared" si="5"/>
        <v>1.910837426066524E-4</v>
      </c>
      <c r="L106" s="8" t="str" cm="1">
        <f t="array" ref="L106">_xlfn.IFS(I106&gt;5%,"High Risk",AND(I106&gt;2%,I106&lt;5%),"Modrate Risk",I106&lt;2%, "Low Risk")</f>
        <v>Modrate Risk</v>
      </c>
      <c r="N106"/>
      <c r="O106"/>
      <c r="P106"/>
      <c r="Q106"/>
      <c r="R106"/>
      <c r="S106"/>
      <c r="T106"/>
      <c r="U106"/>
      <c r="V106"/>
      <c r="W106"/>
      <c r="X106"/>
      <c r="Y106"/>
      <c r="Z106"/>
      <c r="AA106"/>
      <c r="AB106"/>
      <c r="AC106"/>
      <c r="AD106"/>
      <c r="AE106"/>
      <c r="AF106"/>
      <c r="AG106"/>
      <c r="AH106"/>
      <c r="AI106"/>
      <c r="AJ106"/>
      <c r="AK106"/>
      <c r="AL106"/>
      <c r="AM106"/>
      <c r="AN106"/>
      <c r="AO106"/>
      <c r="AP106"/>
      <c r="AQ106"/>
      <c r="AR106"/>
      <c r="AS106"/>
      <c r="AT106"/>
      <c r="AU106"/>
      <c r="AV106"/>
      <c r="AW106"/>
      <c r="AX106"/>
      <c r="AY106"/>
      <c r="AZ106"/>
      <c r="BA106"/>
      <c r="BB106"/>
      <c r="BC106"/>
      <c r="BD106"/>
      <c r="BE106"/>
      <c r="BF106"/>
      <c r="BG106"/>
      <c r="BH106"/>
      <c r="BI106"/>
      <c r="BJ106"/>
      <c r="BK106"/>
      <c r="BL106"/>
      <c r="BM106"/>
      <c r="BN106"/>
      <c r="BO106"/>
      <c r="BP106"/>
      <c r="BQ106"/>
      <c r="BR106"/>
      <c r="BS106"/>
      <c r="BT106"/>
      <c r="BU106"/>
      <c r="BV106"/>
      <c r="BW106"/>
      <c r="BX106"/>
      <c r="BY106"/>
      <c r="BZ106"/>
      <c r="CA106"/>
      <c r="CB106"/>
      <c r="CC106"/>
      <c r="CD106"/>
      <c r="CE106"/>
      <c r="CF106"/>
      <c r="CG106"/>
      <c r="CH106"/>
      <c r="CI106"/>
      <c r="CJ106"/>
      <c r="CK106"/>
      <c r="CL106"/>
      <c r="CM106"/>
      <c r="CN106"/>
      <c r="CO106"/>
      <c r="CP106"/>
      <c r="CQ106"/>
      <c r="CR106"/>
      <c r="CS106"/>
      <c r="CT106"/>
      <c r="CU106"/>
      <c r="CV106"/>
      <c r="CW106"/>
      <c r="CX106"/>
      <c r="CY106"/>
      <c r="CZ106"/>
      <c r="DA106"/>
      <c r="DB106"/>
      <c r="DC106"/>
      <c r="DD106"/>
      <c r="DE106"/>
      <c r="DF106"/>
      <c r="DG106"/>
      <c r="DH106"/>
      <c r="DI106"/>
      <c r="DJ106"/>
      <c r="DK106"/>
      <c r="DL106"/>
      <c r="DM106"/>
      <c r="DN106"/>
      <c r="DO106"/>
      <c r="DP106"/>
      <c r="DQ106"/>
      <c r="DR106"/>
      <c r="DS106"/>
      <c r="DT106"/>
      <c r="DU106"/>
      <c r="DV106"/>
      <c r="DW106"/>
      <c r="DX106"/>
      <c r="DY106"/>
      <c r="DZ106"/>
      <c r="EA106"/>
      <c r="EB106"/>
      <c r="EC106"/>
      <c r="ED106"/>
      <c r="EE106"/>
      <c r="EF106"/>
      <c r="EG106"/>
      <c r="EH106"/>
      <c r="EI106"/>
      <c r="EJ106"/>
      <c r="EK106"/>
      <c r="EL106"/>
      <c r="EM106"/>
      <c r="EN106"/>
      <c r="EO106"/>
      <c r="EP106"/>
      <c r="EQ106"/>
      <c r="ER106"/>
      <c r="ES106"/>
      <c r="ET106"/>
      <c r="EU106"/>
      <c r="EV106"/>
      <c r="EW106"/>
      <c r="EX106"/>
      <c r="EY106"/>
      <c r="EZ106"/>
      <c r="FA106"/>
      <c r="FB106"/>
      <c r="FC106"/>
      <c r="FD106"/>
      <c r="FE106"/>
      <c r="FF106"/>
      <c r="FG106"/>
      <c r="FH106"/>
      <c r="FI106"/>
      <c r="FJ106"/>
      <c r="FK106"/>
      <c r="FL106"/>
      <c r="FM106"/>
      <c r="FN106"/>
      <c r="FO106"/>
      <c r="FP106"/>
      <c r="FQ106"/>
      <c r="FR106"/>
      <c r="FS106"/>
      <c r="FT106"/>
      <c r="FU106"/>
      <c r="FV106"/>
      <c r="FW106"/>
      <c r="FX106"/>
      <c r="FY106"/>
      <c r="FZ106"/>
      <c r="GA106"/>
      <c r="GB106"/>
      <c r="GC106"/>
      <c r="GD106"/>
      <c r="GE106"/>
      <c r="GF106"/>
      <c r="GG106"/>
      <c r="GH106"/>
      <c r="GI106"/>
      <c r="GJ106"/>
      <c r="GK106"/>
    </row>
    <row r="107" spans="1:193" ht="18" hidden="1" customHeight="1" x14ac:dyDescent="0.25">
      <c r="A107" s="9" t="s">
        <v>109</v>
      </c>
      <c r="B107" s="9">
        <v>8904</v>
      </c>
      <c r="C107" s="9">
        <v>124</v>
      </c>
      <c r="D107" s="9">
        <v>8601</v>
      </c>
      <c r="E107" s="9">
        <v>179</v>
      </c>
      <c r="F107" s="9">
        <v>32406372</v>
      </c>
      <c r="G107" s="9" t="s">
        <v>195</v>
      </c>
      <c r="H107" s="10">
        <v>43855</v>
      </c>
      <c r="I107" s="15">
        <f t="shared" si="3"/>
        <v>1.3926325247079964E-2</v>
      </c>
      <c r="J107" s="15">
        <f t="shared" si="4"/>
        <v>0.96597035040431267</v>
      </c>
      <c r="K107" s="18">
        <f t="shared" si="5"/>
        <v>2.7476077852837093E-4</v>
      </c>
      <c r="L107" s="9" t="str" cm="1">
        <f t="array" ref="L107">_xlfn.IFS(I107&gt;5%,"High Risk",AND(I107&gt;2%,I107&lt;5%),"Modrate Risk",I107&lt;2%, "Low Risk")</f>
        <v>Low Risk</v>
      </c>
      <c r="N107"/>
      <c r="O107"/>
      <c r="P107"/>
      <c r="Q107"/>
      <c r="R107"/>
      <c r="S107"/>
      <c r="T107"/>
      <c r="U107"/>
      <c r="V107"/>
      <c r="W107"/>
      <c r="X107"/>
      <c r="Y107"/>
      <c r="Z107"/>
      <c r="AA107"/>
      <c r="AB107"/>
      <c r="AC107"/>
      <c r="AD107"/>
      <c r="AE107"/>
      <c r="AF107"/>
      <c r="AG107"/>
      <c r="AH107"/>
      <c r="AI107"/>
      <c r="AJ107"/>
      <c r="AK107"/>
      <c r="AL107"/>
      <c r="AM107"/>
      <c r="AN107"/>
      <c r="AO107"/>
      <c r="AP107"/>
      <c r="AQ107"/>
      <c r="AR107"/>
      <c r="AS107"/>
      <c r="AT107"/>
      <c r="AU107"/>
      <c r="AV107"/>
      <c r="AW107"/>
      <c r="AX107"/>
      <c r="AY107"/>
      <c r="AZ107"/>
      <c r="BA107"/>
      <c r="BB107"/>
      <c r="BC107"/>
      <c r="BD107"/>
      <c r="BE107"/>
      <c r="BF107"/>
      <c r="BG107"/>
      <c r="BH107"/>
      <c r="BI107"/>
      <c r="BJ107"/>
      <c r="BK107"/>
      <c r="BL107"/>
      <c r="BM107"/>
      <c r="BN107"/>
      <c r="BO107"/>
      <c r="BP107"/>
      <c r="BQ107"/>
      <c r="BR107"/>
      <c r="BS107"/>
      <c r="BT107"/>
      <c r="BU107"/>
      <c r="BV107"/>
      <c r="BW107"/>
      <c r="BX107"/>
      <c r="BY107"/>
      <c r="BZ107"/>
      <c r="CA107"/>
      <c r="CB107"/>
      <c r="CC107"/>
      <c r="CD107"/>
      <c r="CE107"/>
      <c r="CF107"/>
      <c r="CG107"/>
      <c r="CH107"/>
      <c r="CI107"/>
      <c r="CJ107"/>
      <c r="CK107"/>
      <c r="CL107"/>
      <c r="CM107"/>
      <c r="CN107"/>
      <c r="CO107"/>
      <c r="CP107"/>
      <c r="CQ107"/>
      <c r="CR107"/>
      <c r="CS107"/>
      <c r="CT107"/>
      <c r="CU107"/>
      <c r="CV107"/>
      <c r="CW107"/>
      <c r="CX107"/>
      <c r="CY107"/>
      <c r="CZ107"/>
      <c r="DA107"/>
      <c r="DB107"/>
      <c r="DC107"/>
      <c r="DD107"/>
      <c r="DE107"/>
      <c r="DF107"/>
      <c r="DG107"/>
      <c r="DH107"/>
      <c r="DI107"/>
      <c r="DJ107"/>
      <c r="DK107"/>
      <c r="DL107"/>
      <c r="DM107"/>
      <c r="DN107"/>
      <c r="DO107"/>
      <c r="DP107"/>
      <c r="DQ107"/>
      <c r="DR107"/>
      <c r="DS107"/>
      <c r="DT107"/>
      <c r="DU107"/>
      <c r="DV107"/>
      <c r="DW107"/>
      <c r="DX107"/>
      <c r="DY107"/>
      <c r="DZ107"/>
      <c r="EA107"/>
      <c r="EB107"/>
      <c r="EC107"/>
      <c r="ED107"/>
      <c r="EE107"/>
      <c r="EF107"/>
      <c r="EG107"/>
      <c r="EH107"/>
      <c r="EI107"/>
      <c r="EJ107"/>
      <c r="EK107"/>
      <c r="EL107"/>
      <c r="EM107"/>
      <c r="EN107"/>
      <c r="EO107"/>
      <c r="EP107"/>
      <c r="EQ107"/>
      <c r="ER107"/>
      <c r="ES107"/>
      <c r="ET107"/>
      <c r="EU107"/>
      <c r="EV107"/>
      <c r="EW107"/>
      <c r="EX107"/>
      <c r="EY107"/>
      <c r="EZ107"/>
      <c r="FA107"/>
      <c r="FB107"/>
      <c r="FC107"/>
      <c r="FD107"/>
      <c r="FE107"/>
      <c r="FF107"/>
      <c r="FG107"/>
      <c r="FH107"/>
      <c r="FI107"/>
      <c r="FJ107"/>
      <c r="FK107"/>
      <c r="FL107"/>
      <c r="FM107"/>
      <c r="FN107"/>
      <c r="FO107"/>
      <c r="FP107"/>
      <c r="FQ107"/>
      <c r="FR107"/>
      <c r="FS107"/>
      <c r="FT107"/>
      <c r="FU107"/>
      <c r="FV107"/>
      <c r="FW107"/>
      <c r="FX107"/>
      <c r="FY107"/>
      <c r="FZ107"/>
      <c r="GA107"/>
      <c r="GB107"/>
      <c r="GC107"/>
      <c r="GD107"/>
      <c r="GE107"/>
      <c r="GF107"/>
      <c r="GG107"/>
      <c r="GH107"/>
      <c r="GI107"/>
      <c r="GJ107"/>
      <c r="GK107"/>
    </row>
    <row r="108" spans="1:193" ht="18" hidden="1" customHeight="1" x14ac:dyDescent="0.25">
      <c r="A108" s="8" t="s">
        <v>110</v>
      </c>
      <c r="B108" s="8">
        <v>3369</v>
      </c>
      <c r="C108" s="8">
        <v>15</v>
      </c>
      <c r="D108" s="8">
        <v>2547</v>
      </c>
      <c r="E108" s="8">
        <v>807</v>
      </c>
      <c r="F108" s="8">
        <v>541448</v>
      </c>
      <c r="G108" s="8" t="s">
        <v>195</v>
      </c>
      <c r="H108" s="1">
        <v>43897</v>
      </c>
      <c r="I108" s="14">
        <f t="shared" si="3"/>
        <v>4.4523597506678537E-3</v>
      </c>
      <c r="J108" s="14">
        <f t="shared" si="4"/>
        <v>0.75601068566340157</v>
      </c>
      <c r="K108" s="17">
        <f t="shared" si="5"/>
        <v>6.2222041636500643E-3</v>
      </c>
      <c r="L108" s="8" t="str" cm="1">
        <f t="array" ref="L108">_xlfn.IFS(I108&gt;5%,"High Risk",AND(I108&gt;2%,I108&lt;5%),"Modrate Risk",I108&lt;2%, "Low Risk")</f>
        <v>Low Risk</v>
      </c>
      <c r="N108"/>
      <c r="O108"/>
      <c r="P108"/>
      <c r="Q108"/>
      <c r="R108"/>
      <c r="S108"/>
      <c r="T108"/>
      <c r="U108"/>
      <c r="V108"/>
      <c r="W108"/>
      <c r="X108"/>
      <c r="Y108"/>
      <c r="Z108"/>
      <c r="AA108"/>
      <c r="AB108"/>
      <c r="AC108"/>
      <c r="AD108"/>
      <c r="AE108"/>
      <c r="AF108"/>
      <c r="AG108"/>
      <c r="AH108"/>
      <c r="AI108"/>
      <c r="AJ108"/>
      <c r="AK108"/>
      <c r="AL108"/>
      <c r="AM108"/>
      <c r="AN108"/>
      <c r="AO108"/>
      <c r="AP108"/>
      <c r="AQ108"/>
      <c r="AR108"/>
      <c r="AS108"/>
      <c r="AT108"/>
      <c r="AU108"/>
      <c r="AV108"/>
      <c r="AW108"/>
      <c r="AX108"/>
      <c r="AY108"/>
      <c r="AZ108"/>
      <c r="BA108"/>
      <c r="BB108"/>
      <c r="BC108"/>
      <c r="BD108"/>
      <c r="BE108"/>
      <c r="BF108"/>
      <c r="BG108"/>
      <c r="BH108"/>
      <c r="BI108"/>
      <c r="BJ108"/>
      <c r="BK108"/>
      <c r="BL108"/>
      <c r="BM108"/>
      <c r="BN108"/>
      <c r="BO108"/>
      <c r="BP108"/>
      <c r="BQ108"/>
      <c r="BR108"/>
      <c r="BS108"/>
      <c r="BT108"/>
      <c r="BU108"/>
      <c r="BV108"/>
      <c r="BW108"/>
      <c r="BX108"/>
      <c r="BY108"/>
      <c r="BZ108"/>
      <c r="CA108"/>
      <c r="CB108"/>
      <c r="CC108"/>
      <c r="CD108"/>
      <c r="CE108"/>
      <c r="CF108"/>
      <c r="CG108"/>
      <c r="CH108"/>
      <c r="CI108"/>
      <c r="CJ108"/>
      <c r="CK108"/>
      <c r="CL108"/>
      <c r="CM108"/>
      <c r="CN108"/>
      <c r="CO108"/>
      <c r="CP108"/>
      <c r="CQ108"/>
      <c r="CR108"/>
      <c r="CS108"/>
      <c r="CT108"/>
      <c r="CU108"/>
      <c r="CV108"/>
      <c r="CW108"/>
      <c r="CX108"/>
      <c r="CY108"/>
      <c r="CZ108"/>
      <c r="DA108"/>
      <c r="DB108"/>
      <c r="DC108"/>
      <c r="DD108"/>
      <c r="DE108"/>
      <c r="DF108"/>
      <c r="DG108"/>
      <c r="DH108"/>
      <c r="DI108"/>
      <c r="DJ108"/>
      <c r="DK108"/>
      <c r="DL108"/>
      <c r="DM108"/>
      <c r="DN108"/>
      <c r="DO108"/>
      <c r="DP108"/>
      <c r="DQ108"/>
      <c r="DR108"/>
      <c r="DS108"/>
      <c r="DT108"/>
      <c r="DU108"/>
      <c r="DV108"/>
      <c r="DW108"/>
      <c r="DX108"/>
      <c r="DY108"/>
      <c r="DZ108"/>
      <c r="EA108"/>
      <c r="EB108"/>
      <c r="EC108"/>
      <c r="ED108"/>
      <c r="EE108"/>
      <c r="EF108"/>
      <c r="EG108"/>
      <c r="EH108"/>
      <c r="EI108"/>
      <c r="EJ108"/>
      <c r="EK108"/>
      <c r="EL108"/>
      <c r="EM108"/>
      <c r="EN108"/>
      <c r="EO108"/>
      <c r="EP108"/>
      <c r="EQ108"/>
      <c r="ER108"/>
      <c r="ES108"/>
      <c r="ET108"/>
      <c r="EU108"/>
      <c r="EV108"/>
      <c r="EW108"/>
      <c r="EX108"/>
      <c r="EY108"/>
      <c r="EZ108"/>
      <c r="FA108"/>
      <c r="FB108"/>
      <c r="FC108"/>
      <c r="FD108"/>
      <c r="FE108"/>
      <c r="FF108"/>
      <c r="FG108"/>
      <c r="FH108"/>
      <c r="FI108"/>
      <c r="FJ108"/>
      <c r="FK108"/>
      <c r="FL108"/>
      <c r="FM108"/>
      <c r="FN108"/>
      <c r="FO108"/>
      <c r="FP108"/>
      <c r="FQ108"/>
      <c r="FR108"/>
      <c r="FS108"/>
      <c r="FT108"/>
      <c r="FU108"/>
      <c r="FV108"/>
      <c r="FW108"/>
      <c r="FX108"/>
      <c r="FY108"/>
      <c r="FZ108"/>
      <c r="GA108"/>
      <c r="GB108"/>
      <c r="GC108"/>
      <c r="GD108"/>
      <c r="GE108"/>
      <c r="GF108"/>
      <c r="GG108"/>
      <c r="GH108"/>
      <c r="GI108"/>
      <c r="GJ108"/>
      <c r="GK108"/>
    </row>
    <row r="109" spans="1:193" ht="18" hidden="1" customHeight="1" x14ac:dyDescent="0.25">
      <c r="A109" s="9" t="s">
        <v>111</v>
      </c>
      <c r="B109" s="9">
        <v>2513</v>
      </c>
      <c r="C109" s="9">
        <v>124</v>
      </c>
      <c r="D109" s="9">
        <v>1913</v>
      </c>
      <c r="E109" s="9">
        <v>476</v>
      </c>
      <c r="F109" s="9">
        <v>20302901</v>
      </c>
      <c r="G109" s="9" t="s">
        <v>197</v>
      </c>
      <c r="H109" s="10">
        <v>43915</v>
      </c>
      <c r="I109" s="15">
        <f t="shared" si="3"/>
        <v>4.9343414245921209E-2</v>
      </c>
      <c r="J109" s="15">
        <f t="shared" si="4"/>
        <v>0.76124154397134902</v>
      </c>
      <c r="K109" s="18">
        <f t="shared" si="5"/>
        <v>1.2377541514880066E-4</v>
      </c>
      <c r="L109" s="9" t="str" cm="1">
        <f t="array" ref="L109">_xlfn.IFS(I109&gt;5%,"High Risk",AND(I109&gt;2%,I109&lt;5%),"Modrate Risk",I109&lt;2%, "Low Risk")</f>
        <v>Modrate Risk</v>
      </c>
      <c r="N109"/>
      <c r="O109"/>
      <c r="P109"/>
      <c r="Q109"/>
      <c r="R109"/>
      <c r="S109"/>
      <c r="T109"/>
      <c r="U109"/>
      <c r="V109"/>
      <c r="W109"/>
      <c r="X109"/>
      <c r="Y109"/>
      <c r="Z109"/>
      <c r="AA109"/>
      <c r="AB109"/>
      <c r="AC109"/>
      <c r="AD109"/>
      <c r="AE109"/>
      <c r="AF109"/>
      <c r="AG109"/>
      <c r="AH109"/>
      <c r="AI109"/>
      <c r="AJ109"/>
      <c r="AK109"/>
      <c r="AL109"/>
      <c r="AM109"/>
      <c r="AN109"/>
      <c r="AO109"/>
      <c r="AP109"/>
      <c r="AQ109"/>
      <c r="AR109"/>
      <c r="AS109"/>
      <c r="AT109"/>
      <c r="AU109"/>
      <c r="AV109"/>
      <c r="AW109"/>
      <c r="AX109"/>
      <c r="AY109"/>
      <c r="AZ109"/>
      <c r="BA109"/>
      <c r="BB109"/>
      <c r="BC109"/>
      <c r="BD109"/>
      <c r="BE109"/>
      <c r="BF109"/>
      <c r="BG109"/>
      <c r="BH109"/>
      <c r="BI109"/>
      <c r="BJ109"/>
      <c r="BK109"/>
      <c r="BL109"/>
      <c r="BM109"/>
      <c r="BN109"/>
      <c r="BO109"/>
      <c r="BP109"/>
      <c r="BQ109"/>
      <c r="BR109"/>
      <c r="BS109"/>
      <c r="BT109"/>
      <c r="BU109"/>
      <c r="BV109"/>
      <c r="BW109"/>
      <c r="BX109"/>
      <c r="BY109"/>
      <c r="BZ109"/>
      <c r="CA109"/>
      <c r="CB109"/>
      <c r="CC109"/>
      <c r="CD109"/>
      <c r="CE109"/>
      <c r="CF109"/>
      <c r="CG109"/>
      <c r="CH109"/>
      <c r="CI109"/>
      <c r="CJ109"/>
      <c r="CK109"/>
      <c r="CL109"/>
      <c r="CM109"/>
      <c r="CN109"/>
      <c r="CO109"/>
      <c r="CP109"/>
      <c r="CQ109"/>
      <c r="CR109"/>
      <c r="CS109"/>
      <c r="CT109"/>
      <c r="CU109"/>
      <c r="CV109"/>
      <c r="CW109"/>
      <c r="CX109"/>
      <c r="CY109"/>
      <c r="CZ109"/>
      <c r="DA109"/>
      <c r="DB109"/>
      <c r="DC109"/>
      <c r="DD109"/>
      <c r="DE109"/>
      <c r="DF109"/>
      <c r="DG109"/>
      <c r="DH109"/>
      <c r="DI109"/>
      <c r="DJ109"/>
      <c r="DK109"/>
      <c r="DL109"/>
      <c r="DM109"/>
      <c r="DN109"/>
      <c r="DO109"/>
      <c r="DP109"/>
      <c r="DQ109"/>
      <c r="DR109"/>
      <c r="DS109"/>
      <c r="DT109"/>
      <c r="DU109"/>
      <c r="DV109"/>
      <c r="DW109"/>
      <c r="DX109"/>
      <c r="DY109"/>
      <c r="DZ109"/>
      <c r="EA109"/>
      <c r="EB109"/>
      <c r="EC109"/>
      <c r="ED109"/>
      <c r="EE109"/>
      <c r="EF109"/>
      <c r="EG109"/>
      <c r="EH109"/>
      <c r="EI109"/>
      <c r="EJ109"/>
      <c r="EK109"/>
      <c r="EL109"/>
      <c r="EM109"/>
      <c r="EN109"/>
      <c r="EO109"/>
      <c r="EP109"/>
      <c r="EQ109"/>
      <c r="ER109"/>
      <c r="ES109"/>
      <c r="ET109"/>
      <c r="EU109"/>
      <c r="EV109"/>
      <c r="EW109"/>
      <c r="EX109"/>
      <c r="EY109"/>
      <c r="EZ109"/>
      <c r="FA109"/>
      <c r="FB109"/>
      <c r="FC109"/>
      <c r="FD109"/>
      <c r="FE109"/>
      <c r="FF109"/>
      <c r="FG109"/>
      <c r="FH109"/>
      <c r="FI109"/>
      <c r="FJ109"/>
      <c r="FK109"/>
      <c r="FL109"/>
      <c r="FM109"/>
      <c r="FN109"/>
      <c r="FO109"/>
      <c r="FP109"/>
      <c r="FQ109"/>
      <c r="FR109"/>
      <c r="FS109"/>
      <c r="FT109"/>
      <c r="FU109"/>
      <c r="FV109"/>
      <c r="FW109"/>
      <c r="FX109"/>
      <c r="FY109"/>
      <c r="FZ109"/>
      <c r="GA109"/>
      <c r="GB109"/>
      <c r="GC109"/>
      <c r="GD109"/>
      <c r="GE109"/>
      <c r="GF109"/>
      <c r="GG109"/>
      <c r="GH109"/>
      <c r="GI109"/>
      <c r="GJ109"/>
      <c r="GK109"/>
    </row>
    <row r="110" spans="1:193" ht="18" hidden="1" customHeight="1" x14ac:dyDescent="0.25">
      <c r="A110" s="8" t="s">
        <v>112</v>
      </c>
      <c r="B110" s="8">
        <v>701</v>
      </c>
      <c r="C110" s="8">
        <v>9</v>
      </c>
      <c r="D110" s="8">
        <v>665</v>
      </c>
      <c r="E110" s="8">
        <v>27</v>
      </c>
      <c r="F110" s="8">
        <v>441663</v>
      </c>
      <c r="G110" s="8" t="s">
        <v>196</v>
      </c>
      <c r="H110" s="1">
        <v>43897</v>
      </c>
      <c r="I110" s="14">
        <f t="shared" si="3"/>
        <v>1.2838801711840228E-2</v>
      </c>
      <c r="J110" s="14">
        <f t="shared" si="4"/>
        <v>0.94864479315263905</v>
      </c>
      <c r="K110" s="17">
        <f t="shared" si="5"/>
        <v>1.5871829879342395E-3</v>
      </c>
      <c r="L110" s="8" t="str" cm="1">
        <f t="array" ref="L110">_xlfn.IFS(I110&gt;5%,"High Risk",AND(I110&gt;2%,I110&lt;5%),"Modrate Risk",I110&lt;2%, "Low Risk")</f>
        <v>Low Risk</v>
      </c>
      <c r="N110"/>
      <c r="O110"/>
      <c r="P110"/>
      <c r="Q110"/>
      <c r="R110"/>
      <c r="S110"/>
      <c r="T110"/>
      <c r="U110"/>
      <c r="V110"/>
      <c r="W110"/>
      <c r="X110"/>
      <c r="Y110"/>
      <c r="Z110"/>
      <c r="AA110"/>
      <c r="AB110"/>
      <c r="AC110"/>
      <c r="AD110"/>
      <c r="AE110"/>
      <c r="AF110"/>
      <c r="AG110"/>
      <c r="AH110"/>
      <c r="AI110"/>
      <c r="AJ110"/>
      <c r="AK110"/>
      <c r="AL110"/>
      <c r="AM110"/>
      <c r="AN110"/>
      <c r="AO110"/>
      <c r="AP110"/>
      <c r="AQ110"/>
      <c r="AR110"/>
      <c r="AS110"/>
      <c r="AT110"/>
      <c r="AU110"/>
      <c r="AV110"/>
      <c r="AW110"/>
      <c r="AX110"/>
      <c r="AY110"/>
      <c r="AZ110"/>
      <c r="BA110"/>
      <c r="BB110"/>
      <c r="BC110"/>
      <c r="BD110"/>
      <c r="BE110"/>
      <c r="BF110"/>
      <c r="BG110"/>
      <c r="BH110"/>
      <c r="BI110"/>
      <c r="BJ110"/>
      <c r="BK110"/>
      <c r="BL110"/>
      <c r="BM110"/>
      <c r="BN110"/>
      <c r="BO110"/>
      <c r="BP110"/>
      <c r="BQ110"/>
      <c r="BR110"/>
      <c r="BS110"/>
      <c r="BT110"/>
      <c r="BU110"/>
      <c r="BV110"/>
      <c r="BW110"/>
      <c r="BX110"/>
      <c r="BY110"/>
      <c r="BZ110"/>
      <c r="CA110"/>
      <c r="CB110"/>
      <c r="CC110"/>
      <c r="CD110"/>
      <c r="CE110"/>
      <c r="CF110"/>
      <c r="CG110"/>
      <c r="CH110"/>
      <c r="CI110"/>
      <c r="CJ110"/>
      <c r="CK110"/>
      <c r="CL110"/>
      <c r="CM110"/>
      <c r="CN110"/>
      <c r="CO110"/>
      <c r="CP110"/>
      <c r="CQ110"/>
      <c r="CR110"/>
      <c r="CS110"/>
      <c r="CT110"/>
      <c r="CU110"/>
      <c r="CV110"/>
      <c r="CW110"/>
      <c r="CX110"/>
      <c r="CY110"/>
      <c r="CZ110"/>
      <c r="DA110"/>
      <c r="DB110"/>
      <c r="DC110"/>
      <c r="DD110"/>
      <c r="DE110"/>
      <c r="DF110"/>
      <c r="DG110"/>
      <c r="DH110"/>
      <c r="DI110"/>
      <c r="DJ110"/>
      <c r="DK110"/>
      <c r="DL110"/>
      <c r="DM110"/>
      <c r="DN110"/>
      <c r="DO110"/>
      <c r="DP110"/>
      <c r="DQ110"/>
      <c r="DR110"/>
      <c r="DS110"/>
      <c r="DT110"/>
      <c r="DU110"/>
      <c r="DV110"/>
      <c r="DW110"/>
      <c r="DX110"/>
      <c r="DY110"/>
      <c r="DZ110"/>
      <c r="EA110"/>
      <c r="EB110"/>
      <c r="EC110"/>
      <c r="ED110"/>
      <c r="EE110"/>
      <c r="EF110"/>
      <c r="EG110"/>
      <c r="EH110"/>
      <c r="EI110"/>
      <c r="EJ110"/>
      <c r="EK110"/>
      <c r="EL110"/>
      <c r="EM110"/>
      <c r="EN110"/>
      <c r="EO110"/>
      <c r="EP110"/>
      <c r="EQ110"/>
      <c r="ER110"/>
      <c r="ES110"/>
      <c r="ET110"/>
      <c r="EU110"/>
      <c r="EV110"/>
      <c r="EW110"/>
      <c r="EX110"/>
      <c r="EY110"/>
      <c r="EZ110"/>
      <c r="FA110"/>
      <c r="FB110"/>
      <c r="FC110"/>
      <c r="FD110"/>
      <c r="FE110"/>
      <c r="FF110"/>
      <c r="FG110"/>
      <c r="FH110"/>
      <c r="FI110"/>
      <c r="FJ110"/>
      <c r="FK110"/>
      <c r="FL110"/>
      <c r="FM110"/>
      <c r="FN110"/>
      <c r="FO110"/>
      <c r="FP110"/>
      <c r="FQ110"/>
      <c r="FR110"/>
      <c r="FS110"/>
      <c r="FT110"/>
      <c r="FU110"/>
      <c r="FV110"/>
      <c r="FW110"/>
      <c r="FX110"/>
      <c r="FY110"/>
      <c r="FZ110"/>
      <c r="GA110"/>
      <c r="GB110"/>
      <c r="GC110"/>
      <c r="GD110"/>
      <c r="GE110"/>
      <c r="GF110"/>
      <c r="GG110"/>
      <c r="GH110"/>
      <c r="GI110"/>
      <c r="GJ110"/>
      <c r="GK110"/>
    </row>
    <row r="111" spans="1:193" ht="18" hidden="1" customHeight="1" x14ac:dyDescent="0.25">
      <c r="A111" s="9" t="s">
        <v>113</v>
      </c>
      <c r="B111" s="9">
        <v>6208</v>
      </c>
      <c r="C111" s="9">
        <v>156</v>
      </c>
      <c r="D111" s="9">
        <v>4653</v>
      </c>
      <c r="E111" s="9">
        <v>1399</v>
      </c>
      <c r="F111" s="9">
        <v>4660728</v>
      </c>
      <c r="G111" s="9" t="s">
        <v>197</v>
      </c>
      <c r="H111" s="10">
        <v>43903</v>
      </c>
      <c r="I111" s="15">
        <f t="shared" si="3"/>
        <v>2.5128865979381444E-2</v>
      </c>
      <c r="J111" s="15">
        <f t="shared" si="4"/>
        <v>0.74951675257731953</v>
      </c>
      <c r="K111" s="18">
        <f t="shared" si="5"/>
        <v>1.3319807549378553E-3</v>
      </c>
      <c r="L111" s="9" t="str" cm="1">
        <f t="array" ref="L111">_xlfn.IFS(I111&gt;5%,"High Risk",AND(I111&gt;2%,I111&lt;5%),"Modrate Risk",I111&lt;2%, "Low Risk")</f>
        <v>Modrate Risk</v>
      </c>
      <c r="N111"/>
      <c r="O111"/>
      <c r="P111"/>
      <c r="Q111"/>
      <c r="R111"/>
      <c r="S111"/>
      <c r="T111"/>
      <c r="U111"/>
      <c r="V111"/>
      <c r="W111"/>
      <c r="X111"/>
      <c r="Y111"/>
      <c r="Z111"/>
      <c r="AA111"/>
      <c r="AB111"/>
      <c r="AC111"/>
      <c r="AD111"/>
      <c r="AE111"/>
      <c r="AF111"/>
      <c r="AG111"/>
      <c r="AH111"/>
      <c r="AI111"/>
      <c r="AJ111"/>
      <c r="AK111"/>
      <c r="AL111"/>
      <c r="AM111"/>
      <c r="AN111"/>
      <c r="AO111"/>
      <c r="AP111"/>
      <c r="AQ111"/>
      <c r="AR111"/>
      <c r="AS111"/>
      <c r="AT111"/>
      <c r="AU111"/>
      <c r="AV111"/>
      <c r="AW111"/>
      <c r="AX111"/>
      <c r="AY111"/>
      <c r="AZ111"/>
      <c r="BA111"/>
      <c r="BB111"/>
      <c r="BC111"/>
      <c r="BD111"/>
      <c r="BE111"/>
      <c r="BF111"/>
      <c r="BG111"/>
      <c r="BH111"/>
      <c r="BI111"/>
      <c r="BJ111"/>
      <c r="BK111"/>
      <c r="BL111"/>
      <c r="BM111"/>
      <c r="BN111"/>
      <c r="BO111"/>
      <c r="BP111"/>
      <c r="BQ111"/>
      <c r="BR111"/>
      <c r="BS111"/>
      <c r="BT111"/>
      <c r="BU111"/>
      <c r="BV111"/>
      <c r="BW111"/>
      <c r="BX111"/>
      <c r="BY111"/>
      <c r="BZ111"/>
      <c r="CA111"/>
      <c r="CB111"/>
      <c r="CC111"/>
      <c r="CD111"/>
      <c r="CE111"/>
      <c r="CF111"/>
      <c r="CG111"/>
      <c r="CH111"/>
      <c r="CI111"/>
      <c r="CJ111"/>
      <c r="CK111"/>
      <c r="CL111"/>
      <c r="CM111"/>
      <c r="CN111"/>
      <c r="CO111"/>
      <c r="CP111"/>
      <c r="CQ111"/>
      <c r="CR111"/>
      <c r="CS111"/>
      <c r="CT111"/>
      <c r="CU111"/>
      <c r="CV111"/>
      <c r="CW111"/>
      <c r="CX111"/>
      <c r="CY111"/>
      <c r="CZ111"/>
      <c r="DA111"/>
      <c r="DB111"/>
      <c r="DC111"/>
      <c r="DD111"/>
      <c r="DE111"/>
      <c r="DF111"/>
      <c r="DG111"/>
      <c r="DH111"/>
      <c r="DI111"/>
      <c r="DJ111"/>
      <c r="DK111"/>
      <c r="DL111"/>
      <c r="DM111"/>
      <c r="DN111"/>
      <c r="DO111"/>
      <c r="DP111"/>
      <c r="DQ111"/>
      <c r="DR111"/>
      <c r="DS111"/>
      <c r="DT111"/>
      <c r="DU111"/>
      <c r="DV111"/>
      <c r="DW111"/>
      <c r="DX111"/>
      <c r="DY111"/>
      <c r="DZ111"/>
      <c r="EA111"/>
      <c r="EB111"/>
      <c r="EC111"/>
      <c r="ED111"/>
      <c r="EE111"/>
      <c r="EF111"/>
      <c r="EG111"/>
      <c r="EH111"/>
      <c r="EI111"/>
      <c r="EJ111"/>
      <c r="EK111"/>
      <c r="EL111"/>
      <c r="EM111"/>
      <c r="EN111"/>
      <c r="EO111"/>
      <c r="EP111"/>
      <c r="EQ111"/>
      <c r="ER111"/>
      <c r="ES111"/>
      <c r="ET111"/>
      <c r="EU111"/>
      <c r="EV111"/>
      <c r="EW111"/>
      <c r="EX111"/>
      <c r="EY111"/>
      <c r="EZ111"/>
      <c r="FA111"/>
      <c r="FB111"/>
      <c r="FC111"/>
      <c r="FD111"/>
      <c r="FE111"/>
      <c r="FF111"/>
      <c r="FG111"/>
      <c r="FH111"/>
      <c r="FI111"/>
      <c r="FJ111"/>
      <c r="FK111"/>
      <c r="FL111"/>
      <c r="FM111"/>
      <c r="FN111"/>
      <c r="FO111"/>
      <c r="FP111"/>
      <c r="FQ111"/>
      <c r="FR111"/>
      <c r="FS111"/>
      <c r="FT111"/>
      <c r="FU111"/>
      <c r="FV111"/>
      <c r="FW111"/>
      <c r="FX111"/>
      <c r="FY111"/>
      <c r="FZ111"/>
      <c r="GA111"/>
      <c r="GB111"/>
      <c r="GC111"/>
      <c r="GD111"/>
      <c r="GE111"/>
      <c r="GF111"/>
      <c r="GG111"/>
      <c r="GH111"/>
      <c r="GI111"/>
      <c r="GJ111"/>
      <c r="GK111"/>
    </row>
    <row r="112" spans="1:193" ht="18" hidden="1" customHeight="1" x14ac:dyDescent="0.25">
      <c r="A112" s="8" t="s">
        <v>114</v>
      </c>
      <c r="B112" s="8">
        <v>344</v>
      </c>
      <c r="C112" s="8">
        <v>10</v>
      </c>
      <c r="D112" s="8">
        <v>332</v>
      </c>
      <c r="E112" s="8">
        <v>2</v>
      </c>
      <c r="F112" s="8">
        <v>1271985</v>
      </c>
      <c r="G112" s="8" t="s">
        <v>197</v>
      </c>
      <c r="H112" s="1">
        <v>43908</v>
      </c>
      <c r="I112" s="14">
        <f t="shared" si="3"/>
        <v>2.9069767441860465E-2</v>
      </c>
      <c r="J112" s="14">
        <f t="shared" si="4"/>
        <v>0.96511627906976749</v>
      </c>
      <c r="K112" s="17">
        <f t="shared" si="5"/>
        <v>2.7044344076384549E-4</v>
      </c>
      <c r="L112" s="8" t="str" cm="1">
        <f t="array" ref="L112">_xlfn.IFS(I112&gt;5%,"High Risk",AND(I112&gt;2%,I112&lt;5%),"Modrate Risk",I112&lt;2%, "Low Risk")</f>
        <v>Modrate Risk</v>
      </c>
      <c r="N112"/>
      <c r="O112"/>
      <c r="P112"/>
      <c r="Q112"/>
      <c r="R112"/>
      <c r="S112"/>
      <c r="T112"/>
      <c r="U112"/>
      <c r="V112"/>
      <c r="W112"/>
      <c r="X112"/>
      <c r="Y112"/>
      <c r="Z112"/>
      <c r="AA112"/>
      <c r="AB112"/>
      <c r="AC112"/>
      <c r="AD112"/>
      <c r="AE112"/>
      <c r="AF112"/>
      <c r="AG112"/>
      <c r="AH112"/>
      <c r="AI112"/>
      <c r="AJ112"/>
      <c r="AK112"/>
      <c r="AL112"/>
      <c r="AM112"/>
      <c r="AN112"/>
      <c r="AO112"/>
      <c r="AP112"/>
      <c r="AQ112"/>
      <c r="AR112"/>
      <c r="AS112"/>
      <c r="AT112"/>
      <c r="AU112"/>
      <c r="AV112"/>
      <c r="AW112"/>
      <c r="AX112"/>
      <c r="AY112"/>
      <c r="AZ112"/>
      <c r="BA112"/>
      <c r="BB112"/>
      <c r="BC112"/>
      <c r="BD112"/>
      <c r="BE112"/>
      <c r="BF112"/>
      <c r="BG112"/>
      <c r="BH112"/>
      <c r="BI112"/>
      <c r="BJ112"/>
      <c r="BK112"/>
      <c r="BL112"/>
      <c r="BM112"/>
      <c r="BN112"/>
      <c r="BO112"/>
      <c r="BP112"/>
      <c r="BQ112"/>
      <c r="BR112"/>
      <c r="BS112"/>
      <c r="BT112"/>
      <c r="BU112"/>
      <c r="BV112"/>
      <c r="BW112"/>
      <c r="BX112"/>
      <c r="BY112"/>
      <c r="BZ112"/>
      <c r="CA112"/>
      <c r="CB112"/>
      <c r="CC112"/>
      <c r="CD112"/>
      <c r="CE112"/>
      <c r="CF112"/>
      <c r="CG112"/>
      <c r="CH112"/>
      <c r="CI112"/>
      <c r="CJ112"/>
      <c r="CK112"/>
      <c r="CL112"/>
      <c r="CM112"/>
      <c r="CN112"/>
      <c r="CO112"/>
      <c r="CP112"/>
      <c r="CQ112"/>
      <c r="CR112"/>
      <c r="CS112"/>
      <c r="CT112"/>
      <c r="CU112"/>
      <c r="CV112"/>
      <c r="CW112"/>
      <c r="CX112"/>
      <c r="CY112"/>
      <c r="CZ112"/>
      <c r="DA112"/>
      <c r="DB112"/>
      <c r="DC112"/>
      <c r="DD112"/>
      <c r="DE112"/>
      <c r="DF112"/>
      <c r="DG112"/>
      <c r="DH112"/>
      <c r="DI112"/>
      <c r="DJ112"/>
      <c r="DK112"/>
      <c r="DL112"/>
      <c r="DM112"/>
      <c r="DN112"/>
      <c r="DO112"/>
      <c r="DP112"/>
      <c r="DQ112"/>
      <c r="DR112"/>
      <c r="DS112"/>
      <c r="DT112"/>
      <c r="DU112"/>
      <c r="DV112"/>
      <c r="DW112"/>
      <c r="DX112"/>
      <c r="DY112"/>
      <c r="DZ112"/>
      <c r="EA112"/>
      <c r="EB112"/>
      <c r="EC112"/>
      <c r="ED112"/>
      <c r="EE112"/>
      <c r="EF112"/>
      <c r="EG112"/>
      <c r="EH112"/>
      <c r="EI112"/>
      <c r="EJ112"/>
      <c r="EK112"/>
      <c r="EL112"/>
      <c r="EM112"/>
      <c r="EN112"/>
      <c r="EO112"/>
      <c r="EP112"/>
      <c r="EQ112"/>
      <c r="ER112"/>
      <c r="ES112"/>
      <c r="ET112"/>
      <c r="EU112"/>
      <c r="EV112"/>
      <c r="EW112"/>
      <c r="EX112"/>
      <c r="EY112"/>
      <c r="EZ112"/>
      <c r="FA112"/>
      <c r="FB112"/>
      <c r="FC112"/>
      <c r="FD112"/>
      <c r="FE112"/>
      <c r="FF112"/>
      <c r="FG112"/>
      <c r="FH112"/>
      <c r="FI112"/>
      <c r="FJ112"/>
      <c r="FK112"/>
      <c r="FL112"/>
      <c r="FM112"/>
      <c r="FN112"/>
      <c r="FO112"/>
      <c r="FP112"/>
      <c r="FQ112"/>
      <c r="FR112"/>
      <c r="FS112"/>
      <c r="FT112"/>
      <c r="FU112"/>
      <c r="FV112"/>
      <c r="FW112"/>
      <c r="FX112"/>
      <c r="FY112"/>
      <c r="FZ112"/>
      <c r="GA112"/>
      <c r="GB112"/>
      <c r="GC112"/>
      <c r="GD112"/>
      <c r="GE112"/>
      <c r="GF112"/>
      <c r="GG112"/>
      <c r="GH112"/>
      <c r="GI112"/>
      <c r="GJ112"/>
      <c r="GK112"/>
    </row>
    <row r="113" spans="1:193" ht="18" customHeight="1" x14ac:dyDescent="0.25">
      <c r="A113" s="9" t="s">
        <v>115</v>
      </c>
      <c r="B113" s="9">
        <v>395489</v>
      </c>
      <c r="C113" s="9">
        <v>44022</v>
      </c>
      <c r="D113" s="9">
        <v>303810</v>
      </c>
      <c r="E113" s="9">
        <v>47657</v>
      </c>
      <c r="F113" s="9">
        <v>129066160</v>
      </c>
      <c r="G113" s="9" t="s">
        <v>198</v>
      </c>
      <c r="H113" s="10">
        <v>43889</v>
      </c>
      <c r="I113" s="15">
        <f t="shared" si="3"/>
        <v>0.11131030193001576</v>
      </c>
      <c r="J113" s="15">
        <f t="shared" si="4"/>
        <v>0.7681882429094109</v>
      </c>
      <c r="K113" s="18">
        <f t="shared" si="5"/>
        <v>3.0642346529872739E-3</v>
      </c>
      <c r="L113" s="9" t="str" cm="1">
        <f t="array" ref="L113">_xlfn.IFS(I113&gt;5%,"High Risk",AND(I113&gt;2%,I113&lt;5%),"Modrate Risk",I113&lt;2%, "Low Risk")</f>
        <v>High Risk</v>
      </c>
      <c r="N113"/>
      <c r="O113"/>
      <c r="P113"/>
      <c r="Q113"/>
      <c r="R113"/>
      <c r="S113"/>
      <c r="T113"/>
      <c r="U113"/>
      <c r="V113"/>
      <c r="W113"/>
      <c r="X113"/>
      <c r="Y113"/>
      <c r="Z113"/>
      <c r="AA113"/>
      <c r="AB113"/>
      <c r="AC113"/>
      <c r="AD113"/>
      <c r="AE113"/>
      <c r="AF113"/>
      <c r="AG113"/>
      <c r="AH113"/>
      <c r="AI113"/>
      <c r="AJ113"/>
      <c r="AK113"/>
      <c r="AL113"/>
      <c r="AM113"/>
      <c r="AN113"/>
      <c r="AO113"/>
      <c r="AP113"/>
      <c r="AQ113"/>
      <c r="AR113"/>
      <c r="AS113"/>
      <c r="AT113"/>
      <c r="AU113"/>
      <c r="AV113"/>
      <c r="AW113"/>
      <c r="AX113"/>
      <c r="AY113"/>
      <c r="AZ113"/>
      <c r="BA113"/>
      <c r="BB113"/>
      <c r="BC113"/>
      <c r="BD113"/>
      <c r="BE113"/>
      <c r="BF113"/>
      <c r="BG113"/>
      <c r="BH113"/>
      <c r="BI113"/>
      <c r="BJ113"/>
      <c r="BK113"/>
      <c r="BL113"/>
      <c r="BM113"/>
      <c r="BN113"/>
      <c r="BO113"/>
      <c r="BP113"/>
      <c r="BQ113"/>
      <c r="BR113"/>
      <c r="BS113"/>
      <c r="BT113"/>
      <c r="BU113"/>
      <c r="BV113"/>
      <c r="BW113"/>
      <c r="BX113"/>
      <c r="BY113"/>
      <c r="BZ113"/>
      <c r="CA113"/>
      <c r="CB113"/>
      <c r="CC113"/>
      <c r="CD113"/>
      <c r="CE113"/>
      <c r="CF113"/>
      <c r="CG113"/>
      <c r="CH113"/>
      <c r="CI113"/>
      <c r="CJ113"/>
      <c r="CK113"/>
      <c r="CL113"/>
      <c r="CM113"/>
      <c r="CN113"/>
      <c r="CO113"/>
      <c r="CP113"/>
      <c r="CQ113"/>
      <c r="CR113"/>
      <c r="CS113"/>
      <c r="CT113"/>
      <c r="CU113"/>
      <c r="CV113"/>
      <c r="CW113"/>
      <c r="CX113"/>
      <c r="CY113"/>
      <c r="CZ113"/>
      <c r="DA113"/>
      <c r="DB113"/>
      <c r="DC113"/>
      <c r="DD113"/>
      <c r="DE113"/>
      <c r="DF113"/>
      <c r="DG113"/>
      <c r="DH113"/>
      <c r="DI113"/>
      <c r="DJ113"/>
      <c r="DK113"/>
      <c r="DL113"/>
      <c r="DM113"/>
      <c r="DN113"/>
      <c r="DO113"/>
      <c r="DP113"/>
      <c r="DQ113"/>
      <c r="DR113"/>
      <c r="DS113"/>
      <c r="DT113"/>
      <c r="DU113"/>
      <c r="DV113"/>
      <c r="DW113"/>
      <c r="DX113"/>
      <c r="DY113"/>
      <c r="DZ113"/>
      <c r="EA113"/>
      <c r="EB113"/>
      <c r="EC113"/>
      <c r="ED113"/>
      <c r="EE113"/>
      <c r="EF113"/>
      <c r="EG113"/>
      <c r="EH113"/>
      <c r="EI113"/>
      <c r="EJ113"/>
      <c r="EK113"/>
      <c r="EL113"/>
      <c r="EM113"/>
      <c r="EN113"/>
      <c r="EO113"/>
      <c r="EP113"/>
      <c r="EQ113"/>
      <c r="ER113"/>
      <c r="ES113"/>
      <c r="ET113"/>
      <c r="EU113"/>
      <c r="EV113"/>
      <c r="EW113"/>
      <c r="EX113"/>
      <c r="EY113"/>
      <c r="EZ113"/>
      <c r="FA113"/>
      <c r="FB113"/>
      <c r="FC113"/>
      <c r="FD113"/>
      <c r="FE113"/>
      <c r="FF113"/>
      <c r="FG113"/>
      <c r="FH113"/>
      <c r="FI113"/>
      <c r="FJ113"/>
      <c r="FK113"/>
      <c r="FL113"/>
      <c r="FM113"/>
      <c r="FN113"/>
      <c r="FO113"/>
      <c r="FP113"/>
      <c r="FQ113"/>
      <c r="FR113"/>
      <c r="FS113"/>
      <c r="FT113"/>
      <c r="FU113"/>
      <c r="FV113"/>
      <c r="FW113"/>
      <c r="FX113"/>
      <c r="FY113"/>
      <c r="FZ113"/>
      <c r="GA113"/>
      <c r="GB113"/>
      <c r="GC113"/>
      <c r="GD113"/>
      <c r="GE113"/>
      <c r="GF113"/>
      <c r="GG113"/>
      <c r="GH113"/>
      <c r="GI113"/>
      <c r="GJ113"/>
      <c r="GK113"/>
    </row>
    <row r="114" spans="1:193" ht="18" hidden="1" customHeight="1" x14ac:dyDescent="0.25">
      <c r="A114" s="8" t="s">
        <v>116</v>
      </c>
      <c r="B114" s="8">
        <v>23154</v>
      </c>
      <c r="C114" s="8">
        <v>748</v>
      </c>
      <c r="D114" s="8">
        <v>16154</v>
      </c>
      <c r="E114" s="8">
        <v>6252</v>
      </c>
      <c r="F114" s="8">
        <v>4032983</v>
      </c>
      <c r="G114" s="8" t="s">
        <v>196</v>
      </c>
      <c r="H114" s="1">
        <v>43897</v>
      </c>
      <c r="I114" s="14">
        <f t="shared" si="3"/>
        <v>3.2305433186490456E-2</v>
      </c>
      <c r="J114" s="14">
        <f t="shared" si="4"/>
        <v>0.69767642739915348</v>
      </c>
      <c r="K114" s="17">
        <f t="shared" si="5"/>
        <v>5.7411598313208854E-3</v>
      </c>
      <c r="L114" s="8" t="str" cm="1">
        <f t="array" ref="L114">_xlfn.IFS(I114&gt;5%,"High Risk",AND(I114&gt;2%,I114&lt;5%),"Modrate Risk",I114&lt;2%, "Low Risk")</f>
        <v>Modrate Risk</v>
      </c>
      <c r="N114"/>
      <c r="O114"/>
      <c r="P114"/>
      <c r="Q114"/>
      <c r="R114"/>
      <c r="S114"/>
      <c r="T114"/>
      <c r="U114"/>
      <c r="V114"/>
      <c r="W114"/>
      <c r="X114"/>
      <c r="Y114"/>
      <c r="Z114"/>
      <c r="AA114"/>
      <c r="AB114"/>
      <c r="AC114"/>
      <c r="AD114"/>
      <c r="AE114"/>
      <c r="AF114"/>
      <c r="AG114"/>
      <c r="AH114"/>
      <c r="AI114"/>
      <c r="AJ114"/>
      <c r="AK114"/>
      <c r="AL114"/>
      <c r="AM114"/>
      <c r="AN114"/>
      <c r="AO114"/>
      <c r="AP114"/>
      <c r="AQ114"/>
      <c r="AR114"/>
      <c r="AS114"/>
      <c r="AT114"/>
      <c r="AU114"/>
      <c r="AV114"/>
      <c r="AW114"/>
      <c r="AX114"/>
      <c r="AY114"/>
      <c r="AZ114"/>
      <c r="BA114"/>
      <c r="BB114"/>
      <c r="BC114"/>
      <c r="BD114"/>
      <c r="BE114"/>
      <c r="BF114"/>
      <c r="BG114"/>
      <c r="BH114"/>
      <c r="BI114"/>
      <c r="BJ114"/>
      <c r="BK114"/>
      <c r="BL114"/>
      <c r="BM114"/>
      <c r="BN114"/>
      <c r="BO114"/>
      <c r="BP114"/>
      <c r="BQ114"/>
      <c r="BR114"/>
      <c r="BS114"/>
      <c r="BT114"/>
      <c r="BU114"/>
      <c r="BV114"/>
      <c r="BW114"/>
      <c r="BX114"/>
      <c r="BY114"/>
      <c r="BZ114"/>
      <c r="CA114"/>
      <c r="CB114"/>
      <c r="CC114"/>
      <c r="CD114"/>
      <c r="CE114"/>
      <c r="CF114"/>
      <c r="CG114"/>
      <c r="CH114"/>
      <c r="CI114"/>
      <c r="CJ114"/>
      <c r="CK114"/>
      <c r="CL114"/>
      <c r="CM114"/>
      <c r="CN114"/>
      <c r="CO114"/>
      <c r="CP114"/>
      <c r="CQ114"/>
      <c r="CR114"/>
      <c r="CS114"/>
      <c r="CT114"/>
      <c r="CU114"/>
      <c r="CV114"/>
      <c r="CW114"/>
      <c r="CX114"/>
      <c r="CY114"/>
      <c r="CZ114"/>
      <c r="DA114"/>
      <c r="DB114"/>
      <c r="DC114"/>
      <c r="DD114"/>
      <c r="DE114"/>
      <c r="DF114"/>
      <c r="DG114"/>
      <c r="DH114"/>
      <c r="DI114"/>
      <c r="DJ114"/>
      <c r="DK114"/>
      <c r="DL114"/>
      <c r="DM114"/>
      <c r="DN114"/>
      <c r="DO114"/>
      <c r="DP114"/>
      <c r="DQ114"/>
      <c r="DR114"/>
      <c r="DS114"/>
      <c r="DT114"/>
      <c r="DU114"/>
      <c r="DV114"/>
      <c r="DW114"/>
      <c r="DX114"/>
      <c r="DY114"/>
      <c r="DZ114"/>
      <c r="EA114"/>
      <c r="EB114"/>
      <c r="EC114"/>
      <c r="ED114"/>
      <c r="EE114"/>
      <c r="EF114"/>
      <c r="EG114"/>
      <c r="EH114"/>
      <c r="EI114"/>
      <c r="EJ114"/>
      <c r="EK114"/>
      <c r="EL114"/>
      <c r="EM114"/>
      <c r="EN114"/>
      <c r="EO114"/>
      <c r="EP114"/>
      <c r="EQ114"/>
      <c r="ER114"/>
      <c r="ES114"/>
      <c r="ET114"/>
      <c r="EU114"/>
      <c r="EV114"/>
      <c r="EW114"/>
      <c r="EX114"/>
      <c r="EY114"/>
      <c r="EZ114"/>
      <c r="FA114"/>
      <c r="FB114"/>
      <c r="FC114"/>
      <c r="FD114"/>
      <c r="FE114"/>
      <c r="FF114"/>
      <c r="FG114"/>
      <c r="FH114"/>
      <c r="FI114"/>
      <c r="FJ114"/>
      <c r="FK114"/>
      <c r="FL114"/>
      <c r="FM114"/>
      <c r="FN114"/>
      <c r="FO114"/>
      <c r="FP114"/>
      <c r="FQ114"/>
      <c r="FR114"/>
      <c r="FS114"/>
      <c r="FT114"/>
      <c r="FU114"/>
      <c r="FV114"/>
      <c r="FW114"/>
      <c r="FX114"/>
      <c r="FY114"/>
      <c r="FZ114"/>
      <c r="GA114"/>
      <c r="GB114"/>
      <c r="GC114"/>
      <c r="GD114"/>
      <c r="GE114"/>
      <c r="GF114"/>
      <c r="GG114"/>
      <c r="GH114"/>
      <c r="GI114"/>
      <c r="GJ114"/>
      <c r="GK114"/>
    </row>
    <row r="115" spans="1:193" ht="18" hidden="1" customHeight="1" x14ac:dyDescent="0.25">
      <c r="A115" s="9" t="s">
        <v>117</v>
      </c>
      <c r="B115" s="9">
        <v>116</v>
      </c>
      <c r="C115" s="9">
        <v>4</v>
      </c>
      <c r="D115" s="9">
        <v>104</v>
      </c>
      <c r="E115" s="9">
        <v>8</v>
      </c>
      <c r="F115" s="9">
        <v>39270</v>
      </c>
      <c r="G115" s="9" t="s">
        <v>196</v>
      </c>
      <c r="H115" s="10">
        <v>43890</v>
      </c>
      <c r="I115" s="15">
        <f t="shared" si="3"/>
        <v>3.4482758620689655E-2</v>
      </c>
      <c r="J115" s="15">
        <f t="shared" si="4"/>
        <v>0.89655172413793105</v>
      </c>
      <c r="K115" s="18">
        <f t="shared" si="5"/>
        <v>2.9539088362617776E-3</v>
      </c>
      <c r="L115" s="9" t="str" cm="1">
        <f t="array" ref="L115">_xlfn.IFS(I115&gt;5%,"High Risk",AND(I115&gt;2%,I115&lt;5%),"Modrate Risk",I115&lt;2%, "Low Risk")</f>
        <v>Modrate Risk</v>
      </c>
      <c r="N115"/>
      <c r="O115"/>
      <c r="P115"/>
      <c r="Q115"/>
      <c r="R115"/>
      <c r="S115"/>
      <c r="T115"/>
      <c r="U115"/>
      <c r="V115"/>
      <c r="W115"/>
      <c r="X115"/>
      <c r="Y115"/>
      <c r="Z115"/>
      <c r="AA115"/>
      <c r="AB115"/>
      <c r="AC115"/>
      <c r="AD115"/>
      <c r="AE115"/>
      <c r="AF115"/>
      <c r="AG115"/>
      <c r="AH115"/>
      <c r="AI115"/>
      <c r="AJ115"/>
      <c r="AK115"/>
      <c r="AL115"/>
      <c r="AM115"/>
      <c r="AN115"/>
      <c r="AO115"/>
      <c r="AP115"/>
      <c r="AQ115"/>
      <c r="AR115"/>
      <c r="AS115"/>
      <c r="AT115"/>
      <c r="AU115"/>
      <c r="AV115"/>
      <c r="AW115"/>
      <c r="AX115"/>
      <c r="AY115"/>
      <c r="AZ115"/>
      <c r="BA115"/>
      <c r="BB115"/>
      <c r="BC115"/>
      <c r="BD115"/>
      <c r="BE115"/>
      <c r="BF115"/>
      <c r="BG115"/>
      <c r="BH115"/>
      <c r="BI115"/>
      <c r="BJ115"/>
      <c r="BK115"/>
      <c r="BL115"/>
      <c r="BM115"/>
      <c r="BN115"/>
      <c r="BO115"/>
      <c r="BP115"/>
      <c r="BQ115"/>
      <c r="BR115"/>
      <c r="BS115"/>
      <c r="BT115"/>
      <c r="BU115"/>
      <c r="BV115"/>
      <c r="BW115"/>
      <c r="BX115"/>
      <c r="BY115"/>
      <c r="BZ115"/>
      <c r="CA115"/>
      <c r="CB115"/>
      <c r="CC115"/>
      <c r="CD115"/>
      <c r="CE115"/>
      <c r="CF115"/>
      <c r="CG115"/>
      <c r="CH115"/>
      <c r="CI115"/>
      <c r="CJ115"/>
      <c r="CK115"/>
      <c r="CL115"/>
      <c r="CM115"/>
      <c r="CN115"/>
      <c r="CO115"/>
      <c r="CP115"/>
      <c r="CQ115"/>
      <c r="CR115"/>
      <c r="CS115"/>
      <c r="CT115"/>
      <c r="CU115"/>
      <c r="CV115"/>
      <c r="CW115"/>
      <c r="CX115"/>
      <c r="CY115"/>
      <c r="CZ115"/>
      <c r="DA115"/>
      <c r="DB115"/>
      <c r="DC115"/>
      <c r="DD115"/>
      <c r="DE115"/>
      <c r="DF115"/>
      <c r="DG115"/>
      <c r="DH115"/>
      <c r="DI115"/>
      <c r="DJ115"/>
      <c r="DK115"/>
      <c r="DL115"/>
      <c r="DM115"/>
      <c r="DN115"/>
      <c r="DO115"/>
      <c r="DP115"/>
      <c r="DQ115"/>
      <c r="DR115"/>
      <c r="DS115"/>
      <c r="DT115"/>
      <c r="DU115"/>
      <c r="DV115"/>
      <c r="DW115"/>
      <c r="DX115"/>
      <c r="DY115"/>
      <c r="DZ115"/>
      <c r="EA115"/>
      <c r="EB115"/>
      <c r="EC115"/>
      <c r="ED115"/>
      <c r="EE115"/>
      <c r="EF115"/>
      <c r="EG115"/>
      <c r="EH115"/>
      <c r="EI115"/>
      <c r="EJ115"/>
      <c r="EK115"/>
      <c r="EL115"/>
      <c r="EM115"/>
      <c r="EN115"/>
      <c r="EO115"/>
      <c r="EP115"/>
      <c r="EQ115"/>
      <c r="ER115"/>
      <c r="ES115"/>
      <c r="ET115"/>
      <c r="EU115"/>
      <c r="EV115"/>
      <c r="EW115"/>
      <c r="EX115"/>
      <c r="EY115"/>
      <c r="EZ115"/>
      <c r="FA115"/>
      <c r="FB115"/>
      <c r="FC115"/>
      <c r="FD115"/>
      <c r="FE115"/>
      <c r="FF115"/>
      <c r="FG115"/>
      <c r="FH115"/>
      <c r="FI115"/>
      <c r="FJ115"/>
      <c r="FK115"/>
      <c r="FL115"/>
      <c r="FM115"/>
      <c r="FN115"/>
      <c r="FO115"/>
      <c r="FP115"/>
      <c r="FQ115"/>
      <c r="FR115"/>
      <c r="FS115"/>
      <c r="FT115"/>
      <c r="FU115"/>
      <c r="FV115"/>
      <c r="FW115"/>
      <c r="FX115"/>
      <c r="FY115"/>
      <c r="FZ115"/>
      <c r="GA115"/>
      <c r="GB115"/>
      <c r="GC115"/>
      <c r="GD115"/>
      <c r="GE115"/>
      <c r="GF115"/>
      <c r="GG115"/>
      <c r="GH115"/>
      <c r="GI115"/>
      <c r="GJ115"/>
      <c r="GK115"/>
    </row>
    <row r="116" spans="1:193" ht="18" hidden="1" customHeight="1" x14ac:dyDescent="0.25">
      <c r="A116" s="8" t="s">
        <v>118</v>
      </c>
      <c r="B116" s="8">
        <v>289</v>
      </c>
      <c r="C116" s="8">
        <v>0</v>
      </c>
      <c r="D116" s="8">
        <v>222</v>
      </c>
      <c r="E116" s="8">
        <v>67</v>
      </c>
      <c r="F116" s="8">
        <v>3283344</v>
      </c>
      <c r="G116" s="8" t="s">
        <v>195</v>
      </c>
      <c r="H116" s="1">
        <v>43900</v>
      </c>
      <c r="I116" s="14">
        <f t="shared" si="3"/>
        <v>0</v>
      </c>
      <c r="J116" s="14">
        <f t="shared" si="4"/>
        <v>0.76816608996539792</v>
      </c>
      <c r="K116" s="17">
        <f t="shared" si="5"/>
        <v>8.8020018615167948E-5</v>
      </c>
      <c r="L116" s="8" t="str" cm="1">
        <f t="array" ref="L116">_xlfn.IFS(I116&gt;5%,"High Risk",AND(I116&gt;2%,I116&lt;5%),"Modrate Risk",I116&lt;2%, "Low Risk")</f>
        <v>Low Risk</v>
      </c>
      <c r="N116"/>
      <c r="O116"/>
      <c r="P116"/>
      <c r="Q116"/>
      <c r="R116"/>
      <c r="S116"/>
      <c r="T116"/>
      <c r="U116"/>
      <c r="V116"/>
      <c r="W116"/>
      <c r="X116"/>
      <c r="Y116"/>
      <c r="Z116"/>
      <c r="AA116"/>
      <c r="AB116"/>
      <c r="AC116"/>
      <c r="AD116"/>
      <c r="AE116"/>
      <c r="AF116"/>
      <c r="AG116"/>
      <c r="AH116"/>
      <c r="AI116"/>
      <c r="AJ116"/>
      <c r="AK116"/>
      <c r="AL116"/>
      <c r="AM116"/>
      <c r="AN116"/>
      <c r="AO116"/>
      <c r="AP116"/>
      <c r="AQ116"/>
      <c r="AR116"/>
      <c r="AS116"/>
      <c r="AT116"/>
      <c r="AU116"/>
      <c r="AV116"/>
      <c r="AW116"/>
      <c r="AX116"/>
      <c r="AY116"/>
      <c r="AZ116"/>
      <c r="BA116"/>
      <c r="BB116"/>
      <c r="BC116"/>
      <c r="BD116"/>
      <c r="BE116"/>
      <c r="BF116"/>
      <c r="BG116"/>
      <c r="BH116"/>
      <c r="BI116"/>
      <c r="BJ116"/>
      <c r="BK116"/>
      <c r="BL116"/>
      <c r="BM116"/>
      <c r="BN116"/>
      <c r="BO116"/>
      <c r="BP116"/>
      <c r="BQ116"/>
      <c r="BR116"/>
      <c r="BS116"/>
      <c r="BT116"/>
      <c r="BU116"/>
      <c r="BV116"/>
      <c r="BW116"/>
      <c r="BX116"/>
      <c r="BY116"/>
      <c r="BZ116"/>
      <c r="CA116"/>
      <c r="CB116"/>
      <c r="CC116"/>
      <c r="CD116"/>
      <c r="CE116"/>
      <c r="CF116"/>
      <c r="CG116"/>
      <c r="CH116"/>
      <c r="CI116"/>
      <c r="CJ116"/>
      <c r="CK116"/>
      <c r="CL116"/>
      <c r="CM116"/>
      <c r="CN116"/>
      <c r="CO116"/>
      <c r="CP116"/>
      <c r="CQ116"/>
      <c r="CR116"/>
      <c r="CS116"/>
      <c r="CT116"/>
      <c r="CU116"/>
      <c r="CV116"/>
      <c r="CW116"/>
      <c r="CX116"/>
      <c r="CY116"/>
      <c r="CZ116"/>
      <c r="DA116"/>
      <c r="DB116"/>
      <c r="DC116"/>
      <c r="DD116"/>
      <c r="DE116"/>
      <c r="DF116"/>
      <c r="DG116"/>
      <c r="DH116"/>
      <c r="DI116"/>
      <c r="DJ116"/>
      <c r="DK116"/>
      <c r="DL116"/>
      <c r="DM116"/>
      <c r="DN116"/>
      <c r="DO116"/>
      <c r="DP116"/>
      <c r="DQ116"/>
      <c r="DR116"/>
      <c r="DS116"/>
      <c r="DT116"/>
      <c r="DU116"/>
      <c r="DV116"/>
      <c r="DW116"/>
      <c r="DX116"/>
      <c r="DY116"/>
      <c r="DZ116"/>
      <c r="EA116"/>
      <c r="EB116"/>
      <c r="EC116"/>
      <c r="ED116"/>
      <c r="EE116"/>
      <c r="EF116"/>
      <c r="EG116"/>
      <c r="EH116"/>
      <c r="EI116"/>
      <c r="EJ116"/>
      <c r="EK116"/>
      <c r="EL116"/>
      <c r="EM116"/>
      <c r="EN116"/>
      <c r="EO116"/>
      <c r="EP116"/>
      <c r="EQ116"/>
      <c r="ER116"/>
      <c r="ES116"/>
      <c r="ET116"/>
      <c r="EU116"/>
      <c r="EV116"/>
      <c r="EW116"/>
      <c r="EX116"/>
      <c r="EY116"/>
      <c r="EZ116"/>
      <c r="FA116"/>
      <c r="FB116"/>
      <c r="FC116"/>
      <c r="FD116"/>
      <c r="FE116"/>
      <c r="FF116"/>
      <c r="FG116"/>
      <c r="FH116"/>
      <c r="FI116"/>
      <c r="FJ116"/>
      <c r="FK116"/>
      <c r="FL116"/>
      <c r="FM116"/>
      <c r="FN116"/>
      <c r="FO116"/>
      <c r="FP116"/>
      <c r="FQ116"/>
      <c r="FR116"/>
      <c r="FS116"/>
      <c r="FT116"/>
      <c r="FU116"/>
      <c r="FV116"/>
      <c r="FW116"/>
      <c r="FX116"/>
      <c r="FY116"/>
      <c r="FZ116"/>
      <c r="GA116"/>
      <c r="GB116"/>
      <c r="GC116"/>
      <c r="GD116"/>
      <c r="GE116"/>
      <c r="GF116"/>
      <c r="GG116"/>
      <c r="GH116"/>
      <c r="GI116"/>
      <c r="GJ116"/>
      <c r="GK116"/>
    </row>
    <row r="117" spans="1:193" ht="18" hidden="1" customHeight="1" x14ac:dyDescent="0.25">
      <c r="A117" s="9" t="s">
        <v>119</v>
      </c>
      <c r="B117" s="9">
        <v>2893</v>
      </c>
      <c r="C117" s="9">
        <v>45</v>
      </c>
      <c r="D117" s="9">
        <v>809</v>
      </c>
      <c r="E117" s="9">
        <v>2039</v>
      </c>
      <c r="F117" s="9">
        <v>628074</v>
      </c>
      <c r="G117" s="9" t="s">
        <v>196</v>
      </c>
      <c r="H117" s="10">
        <v>43907</v>
      </c>
      <c r="I117" s="15">
        <f t="shared" si="3"/>
        <v>1.5554787417905289E-2</v>
      </c>
      <c r="J117" s="15">
        <f t="shared" si="4"/>
        <v>0.27964051157967507</v>
      </c>
      <c r="K117" s="18">
        <f t="shared" si="5"/>
        <v>4.6061451357642573E-3</v>
      </c>
      <c r="L117" s="9" t="str" cm="1">
        <f t="array" ref="L117">_xlfn.IFS(I117&gt;5%,"High Risk",AND(I117&gt;2%,I117&lt;5%),"Modrate Risk",I117&lt;2%, "Low Risk")</f>
        <v>Low Risk</v>
      </c>
      <c r="N117"/>
      <c r="O117"/>
      <c r="P117"/>
      <c r="Q117"/>
      <c r="R117"/>
      <c r="S117"/>
      <c r="T117"/>
      <c r="U117"/>
      <c r="V117"/>
      <c r="W117"/>
      <c r="X117"/>
      <c r="Y117"/>
      <c r="Z117"/>
      <c r="AA117"/>
      <c r="AB117"/>
      <c r="AC117"/>
      <c r="AD117"/>
      <c r="AE117"/>
      <c r="AF117"/>
      <c r="AG117"/>
      <c r="AH117"/>
      <c r="AI117"/>
      <c r="AJ117"/>
      <c r="AK117"/>
      <c r="AL117"/>
      <c r="AM117"/>
      <c r="AN117"/>
      <c r="AO117"/>
      <c r="AP117"/>
      <c r="AQ117"/>
      <c r="AR117"/>
      <c r="AS117"/>
      <c r="AT117"/>
      <c r="AU117"/>
      <c r="AV117"/>
      <c r="AW117"/>
      <c r="AX117"/>
      <c r="AY117"/>
      <c r="AZ117"/>
      <c r="BA117"/>
      <c r="BB117"/>
      <c r="BC117"/>
      <c r="BD117"/>
      <c r="BE117"/>
      <c r="BF117"/>
      <c r="BG117"/>
      <c r="BH117"/>
      <c r="BI117"/>
      <c r="BJ117"/>
      <c r="BK117"/>
      <c r="BL117"/>
      <c r="BM117"/>
      <c r="BN117"/>
      <c r="BO117"/>
      <c r="BP117"/>
      <c r="BQ117"/>
      <c r="BR117"/>
      <c r="BS117"/>
      <c r="BT117"/>
      <c r="BU117"/>
      <c r="BV117"/>
      <c r="BW117"/>
      <c r="BX117"/>
      <c r="BY117"/>
      <c r="BZ117"/>
      <c r="CA117"/>
      <c r="CB117"/>
      <c r="CC117"/>
      <c r="CD117"/>
      <c r="CE117"/>
      <c r="CF117"/>
      <c r="CG117"/>
      <c r="CH117"/>
      <c r="CI117"/>
      <c r="CJ117"/>
      <c r="CK117"/>
      <c r="CL117"/>
      <c r="CM117"/>
      <c r="CN117"/>
      <c r="CO117"/>
      <c r="CP117"/>
      <c r="CQ117"/>
      <c r="CR117"/>
      <c r="CS117"/>
      <c r="CT117"/>
      <c r="CU117"/>
      <c r="CV117"/>
      <c r="CW117"/>
      <c r="CX117"/>
      <c r="CY117"/>
      <c r="CZ117"/>
      <c r="DA117"/>
      <c r="DB117"/>
      <c r="DC117"/>
      <c r="DD117"/>
      <c r="DE117"/>
      <c r="DF117"/>
      <c r="DG117"/>
      <c r="DH117"/>
      <c r="DI117"/>
      <c r="DJ117"/>
      <c r="DK117"/>
      <c r="DL117"/>
      <c r="DM117"/>
      <c r="DN117"/>
      <c r="DO117"/>
      <c r="DP117"/>
      <c r="DQ117"/>
      <c r="DR117"/>
      <c r="DS117"/>
      <c r="DT117"/>
      <c r="DU117"/>
      <c r="DV117"/>
      <c r="DW117"/>
      <c r="DX117"/>
      <c r="DY117"/>
      <c r="DZ117"/>
      <c r="EA117"/>
      <c r="EB117"/>
      <c r="EC117"/>
      <c r="ED117"/>
      <c r="EE117"/>
      <c r="EF117"/>
      <c r="EG117"/>
      <c r="EH117"/>
      <c r="EI117"/>
      <c r="EJ117"/>
      <c r="EK117"/>
      <c r="EL117"/>
      <c r="EM117"/>
      <c r="EN117"/>
      <c r="EO117"/>
      <c r="EP117"/>
      <c r="EQ117"/>
      <c r="ER117"/>
      <c r="ES117"/>
      <c r="ET117"/>
      <c r="EU117"/>
      <c r="EV117"/>
      <c r="EW117"/>
      <c r="EX117"/>
      <c r="EY117"/>
      <c r="EZ117"/>
      <c r="FA117"/>
      <c r="FB117"/>
      <c r="FC117"/>
      <c r="FD117"/>
      <c r="FE117"/>
      <c r="FF117"/>
      <c r="FG117"/>
      <c r="FH117"/>
      <c r="FI117"/>
      <c r="FJ117"/>
      <c r="FK117"/>
      <c r="FL117"/>
      <c r="FM117"/>
      <c r="FN117"/>
      <c r="FO117"/>
      <c r="FP117"/>
      <c r="FQ117"/>
      <c r="FR117"/>
      <c r="FS117"/>
      <c r="FT117"/>
      <c r="FU117"/>
      <c r="FV117"/>
      <c r="FW117"/>
      <c r="FX117"/>
      <c r="FY117"/>
      <c r="FZ117"/>
      <c r="GA117"/>
      <c r="GB117"/>
      <c r="GC117"/>
      <c r="GD117"/>
      <c r="GE117"/>
      <c r="GF117"/>
      <c r="GG117"/>
      <c r="GH117"/>
      <c r="GI117"/>
      <c r="GJ117"/>
      <c r="GK117"/>
    </row>
    <row r="118" spans="1:193" ht="18" hidden="1" customHeight="1" x14ac:dyDescent="0.25">
      <c r="A118" s="8" t="s">
        <v>120</v>
      </c>
      <c r="B118" s="8">
        <v>20887</v>
      </c>
      <c r="C118" s="8">
        <v>316</v>
      </c>
      <c r="D118" s="8">
        <v>16553</v>
      </c>
      <c r="E118" s="8">
        <v>4018</v>
      </c>
      <c r="F118" s="8">
        <v>36953359</v>
      </c>
      <c r="G118" s="8" t="s">
        <v>197</v>
      </c>
      <c r="H118" s="1">
        <v>43892</v>
      </c>
      <c r="I118" s="14">
        <f t="shared" si="3"/>
        <v>1.5129027624838417E-2</v>
      </c>
      <c r="J118" s="14">
        <f t="shared" si="4"/>
        <v>0.79250251352515921</v>
      </c>
      <c r="K118" s="17">
        <f t="shared" si="5"/>
        <v>5.6522601910153822E-4</v>
      </c>
      <c r="L118" s="8" t="str" cm="1">
        <f t="array" ref="L118">_xlfn.IFS(I118&gt;5%,"High Risk",AND(I118&gt;2%,I118&lt;5%),"Modrate Risk",I118&lt;2%, "Low Risk")</f>
        <v>Low Risk</v>
      </c>
      <c r="N118"/>
      <c r="O118"/>
      <c r="P118"/>
      <c r="Q118"/>
      <c r="R118"/>
      <c r="S118"/>
      <c r="T118"/>
      <c r="U118"/>
      <c r="V118"/>
      <c r="W118"/>
      <c r="X118"/>
      <c r="Y118"/>
      <c r="Z118"/>
      <c r="AA118"/>
      <c r="AB118"/>
      <c r="AC118"/>
      <c r="AD118"/>
      <c r="AE118"/>
      <c r="AF118"/>
      <c r="AG118"/>
      <c r="AH118"/>
      <c r="AI118"/>
      <c r="AJ118"/>
      <c r="AK118"/>
      <c r="AL118"/>
      <c r="AM118"/>
      <c r="AN118"/>
      <c r="AO118"/>
      <c r="AP118"/>
      <c r="AQ118"/>
      <c r="AR118"/>
      <c r="AS118"/>
      <c r="AT118"/>
      <c r="AU118"/>
      <c r="AV118"/>
      <c r="AW118"/>
      <c r="AX118"/>
      <c r="AY118"/>
      <c r="AZ118"/>
      <c r="BA118"/>
      <c r="BB118"/>
      <c r="BC118"/>
      <c r="BD118"/>
      <c r="BE118"/>
      <c r="BF118"/>
      <c r="BG118"/>
      <c r="BH118"/>
      <c r="BI118"/>
      <c r="BJ118"/>
      <c r="BK118"/>
      <c r="BL118"/>
      <c r="BM118"/>
      <c r="BN118"/>
      <c r="BO118"/>
      <c r="BP118"/>
      <c r="BQ118"/>
      <c r="BR118"/>
      <c r="BS118"/>
      <c r="BT118"/>
      <c r="BU118"/>
      <c r="BV118"/>
      <c r="BW118"/>
      <c r="BX118"/>
      <c r="BY118"/>
      <c r="BZ118"/>
      <c r="CA118"/>
      <c r="CB118"/>
      <c r="CC118"/>
      <c r="CD118"/>
      <c r="CE118"/>
      <c r="CF118"/>
      <c r="CG118"/>
      <c r="CH118"/>
      <c r="CI118"/>
      <c r="CJ118"/>
      <c r="CK118"/>
      <c r="CL118"/>
      <c r="CM118"/>
      <c r="CN118"/>
      <c r="CO118"/>
      <c r="CP118"/>
      <c r="CQ118"/>
      <c r="CR118"/>
      <c r="CS118"/>
      <c r="CT118"/>
      <c r="CU118"/>
      <c r="CV118"/>
      <c r="CW118"/>
      <c r="CX118"/>
      <c r="CY118"/>
      <c r="CZ118"/>
      <c r="DA118"/>
      <c r="DB118"/>
      <c r="DC118"/>
      <c r="DD118"/>
      <c r="DE118"/>
      <c r="DF118"/>
      <c r="DG118"/>
      <c r="DH118"/>
      <c r="DI118"/>
      <c r="DJ118"/>
      <c r="DK118"/>
      <c r="DL118"/>
      <c r="DM118"/>
      <c r="DN118"/>
      <c r="DO118"/>
      <c r="DP118"/>
      <c r="DQ118"/>
      <c r="DR118"/>
      <c r="DS118"/>
      <c r="DT118"/>
      <c r="DU118"/>
      <c r="DV118"/>
      <c r="DW118"/>
      <c r="DX118"/>
      <c r="DY118"/>
      <c r="DZ118"/>
      <c r="EA118"/>
      <c r="EB118"/>
      <c r="EC118"/>
      <c r="ED118"/>
      <c r="EE118"/>
      <c r="EF118"/>
      <c r="EG118"/>
      <c r="EH118"/>
      <c r="EI118"/>
      <c r="EJ118"/>
      <c r="EK118"/>
      <c r="EL118"/>
      <c r="EM118"/>
      <c r="EN118"/>
      <c r="EO118"/>
      <c r="EP118"/>
      <c r="EQ118"/>
      <c r="ER118"/>
      <c r="ES118"/>
      <c r="ET118"/>
      <c r="EU118"/>
      <c r="EV118"/>
      <c r="EW118"/>
      <c r="EX118"/>
      <c r="EY118"/>
      <c r="EZ118"/>
      <c r="FA118"/>
      <c r="FB118"/>
      <c r="FC118"/>
      <c r="FD118"/>
      <c r="FE118"/>
      <c r="FF118"/>
      <c r="FG118"/>
      <c r="FH118"/>
      <c r="FI118"/>
      <c r="FJ118"/>
      <c r="FK118"/>
      <c r="FL118"/>
      <c r="FM118"/>
      <c r="FN118"/>
      <c r="FO118"/>
      <c r="FP118"/>
      <c r="FQ118"/>
      <c r="FR118"/>
      <c r="FS118"/>
      <c r="FT118"/>
      <c r="FU118"/>
      <c r="FV118"/>
      <c r="FW118"/>
      <c r="FX118"/>
      <c r="FY118"/>
      <c r="FZ118"/>
      <c r="GA118"/>
      <c r="GB118"/>
      <c r="GC118"/>
      <c r="GD118"/>
      <c r="GE118"/>
      <c r="GF118"/>
      <c r="GG118"/>
      <c r="GH118"/>
      <c r="GI118"/>
      <c r="GJ118"/>
      <c r="GK118"/>
    </row>
    <row r="119" spans="1:193" ht="18" hidden="1" customHeight="1" x14ac:dyDescent="0.25">
      <c r="A119" s="9" t="s">
        <v>121</v>
      </c>
      <c r="B119" s="9">
        <v>1701</v>
      </c>
      <c r="C119" s="9">
        <v>11</v>
      </c>
      <c r="D119" s="9">
        <v>0</v>
      </c>
      <c r="E119" s="9">
        <v>1690</v>
      </c>
      <c r="F119" s="9">
        <v>31333962</v>
      </c>
      <c r="G119" s="9" t="s">
        <v>197</v>
      </c>
      <c r="H119" s="10">
        <v>43912</v>
      </c>
      <c r="I119" s="15">
        <f t="shared" si="3"/>
        <v>6.4667842445620223E-3</v>
      </c>
      <c r="J119" s="15">
        <f t="shared" si="4"/>
        <v>0</v>
      </c>
      <c r="K119" s="18">
        <f t="shared" si="5"/>
        <v>5.4286144854583022E-5</v>
      </c>
      <c r="L119" s="9" t="str" cm="1">
        <f t="array" ref="L119">_xlfn.IFS(I119&gt;5%,"High Risk",AND(I119&gt;2%,I119&lt;5%),"Modrate Risk",I119&lt;2%, "Low Risk")</f>
        <v>Low Risk</v>
      </c>
      <c r="N119"/>
      <c r="O119"/>
      <c r="P119"/>
      <c r="Q119"/>
      <c r="R119"/>
      <c r="S119"/>
      <c r="T119"/>
      <c r="U119"/>
      <c r="V119"/>
      <c r="W119"/>
      <c r="X119"/>
      <c r="Y119"/>
      <c r="Z119"/>
      <c r="AA119"/>
      <c r="AB119"/>
      <c r="AC119"/>
      <c r="AD119"/>
      <c r="AE119"/>
      <c r="AF119"/>
      <c r="AG119"/>
      <c r="AH119"/>
      <c r="AI119"/>
      <c r="AJ119"/>
      <c r="AK119"/>
      <c r="AL119"/>
      <c r="AM119"/>
      <c r="AN119"/>
      <c r="AO119"/>
      <c r="AP119"/>
      <c r="AQ119"/>
      <c r="AR119"/>
      <c r="AS119"/>
      <c r="AT119"/>
      <c r="AU119"/>
      <c r="AV119"/>
      <c r="AW119"/>
      <c r="AX119"/>
      <c r="AY119"/>
      <c r="AZ119"/>
      <c r="BA119"/>
      <c r="BB119"/>
      <c r="BC119"/>
      <c r="BD119"/>
      <c r="BE119"/>
      <c r="BF119"/>
      <c r="BG119"/>
      <c r="BH119"/>
      <c r="BI119"/>
      <c r="BJ119"/>
      <c r="BK119"/>
      <c r="BL119"/>
      <c r="BM119"/>
      <c r="BN119"/>
      <c r="BO119"/>
      <c r="BP119"/>
      <c r="BQ119"/>
      <c r="BR119"/>
      <c r="BS119"/>
      <c r="BT119"/>
      <c r="BU119"/>
      <c r="BV119"/>
      <c r="BW119"/>
      <c r="BX119"/>
      <c r="BY119"/>
      <c r="BZ119"/>
      <c r="CA119"/>
      <c r="CB119"/>
      <c r="CC119"/>
      <c r="CD119"/>
      <c r="CE119"/>
      <c r="CF119"/>
      <c r="CG119"/>
      <c r="CH119"/>
      <c r="CI119"/>
      <c r="CJ119"/>
      <c r="CK119"/>
      <c r="CL119"/>
      <c r="CM119"/>
      <c r="CN119"/>
      <c r="CO119"/>
      <c r="CP119"/>
      <c r="CQ119"/>
      <c r="CR119"/>
      <c r="CS119"/>
      <c r="CT119"/>
      <c r="CU119"/>
      <c r="CV119"/>
      <c r="CW119"/>
      <c r="CX119"/>
      <c r="CY119"/>
      <c r="CZ119"/>
      <c r="DA119"/>
      <c r="DB119"/>
      <c r="DC119"/>
      <c r="DD119"/>
      <c r="DE119"/>
      <c r="DF119"/>
      <c r="DG119"/>
      <c r="DH119"/>
      <c r="DI119"/>
      <c r="DJ119"/>
      <c r="DK119"/>
      <c r="DL119"/>
      <c r="DM119"/>
      <c r="DN119"/>
      <c r="DO119"/>
      <c r="DP119"/>
      <c r="DQ119"/>
      <c r="DR119"/>
      <c r="DS119"/>
      <c r="DT119"/>
      <c r="DU119"/>
      <c r="DV119"/>
      <c r="DW119"/>
      <c r="DX119"/>
      <c r="DY119"/>
      <c r="DZ119"/>
      <c r="EA119"/>
      <c r="EB119"/>
      <c r="EC119"/>
      <c r="ED119"/>
      <c r="EE119"/>
      <c r="EF119"/>
      <c r="EG119"/>
      <c r="EH119"/>
      <c r="EI119"/>
      <c r="EJ119"/>
      <c r="EK119"/>
      <c r="EL119"/>
      <c r="EM119"/>
      <c r="EN119"/>
      <c r="EO119"/>
      <c r="EP119"/>
      <c r="EQ119"/>
      <c r="ER119"/>
      <c r="ES119"/>
      <c r="ET119"/>
      <c r="EU119"/>
      <c r="EV119"/>
      <c r="EW119"/>
      <c r="EX119"/>
      <c r="EY119"/>
      <c r="EZ119"/>
      <c r="FA119"/>
      <c r="FB119"/>
      <c r="FC119"/>
      <c r="FD119"/>
      <c r="FE119"/>
      <c r="FF119"/>
      <c r="FG119"/>
      <c r="FH119"/>
      <c r="FI119"/>
      <c r="FJ119"/>
      <c r="FK119"/>
      <c r="FL119"/>
      <c r="FM119"/>
      <c r="FN119"/>
      <c r="FO119"/>
      <c r="FP119"/>
      <c r="FQ119"/>
      <c r="FR119"/>
      <c r="FS119"/>
      <c r="FT119"/>
      <c r="FU119"/>
      <c r="FV119"/>
      <c r="FW119"/>
      <c r="FX119"/>
      <c r="FY119"/>
      <c r="FZ119"/>
      <c r="GA119"/>
      <c r="GB119"/>
      <c r="GC119"/>
      <c r="GD119"/>
      <c r="GE119"/>
      <c r="GF119"/>
      <c r="GG119"/>
      <c r="GH119"/>
      <c r="GI119"/>
      <c r="GJ119"/>
      <c r="GK119"/>
    </row>
    <row r="120" spans="1:193" ht="18" hidden="1" customHeight="1" x14ac:dyDescent="0.25">
      <c r="A120" s="8" t="s">
        <v>122</v>
      </c>
      <c r="B120" s="8">
        <v>1843</v>
      </c>
      <c r="C120" s="8">
        <v>8</v>
      </c>
      <c r="D120" s="8">
        <v>101</v>
      </c>
      <c r="E120" s="8">
        <v>1734</v>
      </c>
      <c r="F120" s="8">
        <v>2545264</v>
      </c>
      <c r="G120" s="8" t="s">
        <v>197</v>
      </c>
      <c r="H120" s="1">
        <v>43904</v>
      </c>
      <c r="I120" s="14">
        <f t="shared" si="3"/>
        <v>4.3407487791644059E-3</v>
      </c>
      <c r="J120" s="14">
        <f t="shared" si="4"/>
        <v>5.4801953336950621E-2</v>
      </c>
      <c r="K120" s="17">
        <f t="shared" si="5"/>
        <v>7.2408991758811663E-4</v>
      </c>
      <c r="L120" s="8" t="str" cm="1">
        <f t="array" ref="L120">_xlfn.IFS(I120&gt;5%,"High Risk",AND(I120&gt;2%,I120&lt;5%),"Modrate Risk",I120&lt;2%, "Low Risk")</f>
        <v>Low Risk</v>
      </c>
      <c r="N120"/>
      <c r="O120"/>
      <c r="P120"/>
      <c r="Q120"/>
      <c r="R120"/>
      <c r="S120"/>
      <c r="T120"/>
      <c r="U120"/>
      <c r="V120"/>
      <c r="W120"/>
      <c r="X120"/>
      <c r="Y120"/>
      <c r="Z120"/>
      <c r="AA120"/>
      <c r="AB120"/>
      <c r="AC120"/>
      <c r="AD120"/>
      <c r="AE120"/>
      <c r="AF120"/>
      <c r="AG120"/>
      <c r="AH120"/>
      <c r="AI120"/>
      <c r="AJ120"/>
      <c r="AK120"/>
      <c r="AL120"/>
      <c r="AM120"/>
      <c r="AN120"/>
      <c r="AO120"/>
      <c r="AP120"/>
      <c r="AQ120"/>
      <c r="AR120"/>
      <c r="AS120"/>
      <c r="AT120"/>
      <c r="AU120"/>
      <c r="AV120"/>
      <c r="AW120"/>
      <c r="AX120"/>
      <c r="AY120"/>
      <c r="AZ120"/>
      <c r="BA120"/>
      <c r="BB120"/>
      <c r="BC120"/>
      <c r="BD120"/>
      <c r="BE120"/>
      <c r="BF120"/>
      <c r="BG120"/>
      <c r="BH120"/>
      <c r="BI120"/>
      <c r="BJ120"/>
      <c r="BK120"/>
      <c r="BL120"/>
      <c r="BM120"/>
      <c r="BN120"/>
      <c r="BO120"/>
      <c r="BP120"/>
      <c r="BQ120"/>
      <c r="BR120"/>
      <c r="BS120"/>
      <c r="BT120"/>
      <c r="BU120"/>
      <c r="BV120"/>
      <c r="BW120"/>
      <c r="BX120"/>
      <c r="BY120"/>
      <c r="BZ120"/>
      <c r="CA120"/>
      <c r="CB120"/>
      <c r="CC120"/>
      <c r="CD120"/>
      <c r="CE120"/>
      <c r="CF120"/>
      <c r="CG120"/>
      <c r="CH120"/>
      <c r="CI120"/>
      <c r="CJ120"/>
      <c r="CK120"/>
      <c r="CL120"/>
      <c r="CM120"/>
      <c r="CN120"/>
      <c r="CO120"/>
      <c r="CP120"/>
      <c r="CQ120"/>
      <c r="CR120"/>
      <c r="CS120"/>
      <c r="CT120"/>
      <c r="CU120"/>
      <c r="CV120"/>
      <c r="CW120"/>
      <c r="CX120"/>
      <c r="CY120"/>
      <c r="CZ120"/>
      <c r="DA120"/>
      <c r="DB120"/>
      <c r="DC120"/>
      <c r="DD120"/>
      <c r="DE120"/>
      <c r="DF120"/>
      <c r="DG120"/>
      <c r="DH120"/>
      <c r="DI120"/>
      <c r="DJ120"/>
      <c r="DK120"/>
      <c r="DL120"/>
      <c r="DM120"/>
      <c r="DN120"/>
      <c r="DO120"/>
      <c r="DP120"/>
      <c r="DQ120"/>
      <c r="DR120"/>
      <c r="DS120"/>
      <c r="DT120"/>
      <c r="DU120"/>
      <c r="DV120"/>
      <c r="DW120"/>
      <c r="DX120"/>
      <c r="DY120"/>
      <c r="DZ120"/>
      <c r="EA120"/>
      <c r="EB120"/>
      <c r="EC120"/>
      <c r="ED120"/>
      <c r="EE120"/>
      <c r="EF120"/>
      <c r="EG120"/>
      <c r="EH120"/>
      <c r="EI120"/>
      <c r="EJ120"/>
      <c r="EK120"/>
      <c r="EL120"/>
      <c r="EM120"/>
      <c r="EN120"/>
      <c r="EO120"/>
      <c r="EP120"/>
      <c r="EQ120"/>
      <c r="ER120"/>
      <c r="ES120"/>
      <c r="ET120"/>
      <c r="EU120"/>
      <c r="EV120"/>
      <c r="EW120"/>
      <c r="EX120"/>
      <c r="EY120"/>
      <c r="EZ120"/>
      <c r="FA120"/>
      <c r="FB120"/>
      <c r="FC120"/>
      <c r="FD120"/>
      <c r="FE120"/>
      <c r="FF120"/>
      <c r="FG120"/>
      <c r="FH120"/>
      <c r="FI120"/>
      <c r="FJ120"/>
      <c r="FK120"/>
      <c r="FL120"/>
      <c r="FM120"/>
      <c r="FN120"/>
      <c r="FO120"/>
      <c r="FP120"/>
      <c r="FQ120"/>
      <c r="FR120"/>
      <c r="FS120"/>
      <c r="FT120"/>
      <c r="FU120"/>
      <c r="FV120"/>
      <c r="FW120"/>
      <c r="FX120"/>
      <c r="FY120"/>
      <c r="FZ120"/>
      <c r="GA120"/>
      <c r="GB120"/>
      <c r="GC120"/>
      <c r="GD120"/>
      <c r="GE120"/>
      <c r="GF120"/>
      <c r="GG120"/>
      <c r="GH120"/>
      <c r="GI120"/>
      <c r="GJ120"/>
      <c r="GK120"/>
    </row>
    <row r="121" spans="1:193" ht="18" hidden="1" customHeight="1" x14ac:dyDescent="0.25">
      <c r="A121" s="9" t="s">
        <v>123</v>
      </c>
      <c r="B121" s="9">
        <v>18752</v>
      </c>
      <c r="C121" s="9">
        <v>48</v>
      </c>
      <c r="D121" s="9">
        <v>13754</v>
      </c>
      <c r="E121" s="9">
        <v>4950</v>
      </c>
      <c r="F121" s="9">
        <v>29186486</v>
      </c>
      <c r="G121" s="9" t="s">
        <v>195</v>
      </c>
      <c r="H121" s="10">
        <v>43843</v>
      </c>
      <c r="I121" s="15">
        <f t="shared" si="3"/>
        <v>2.5597269624573378E-3</v>
      </c>
      <c r="J121" s="15">
        <f t="shared" si="4"/>
        <v>0.73346843003412965</v>
      </c>
      <c r="K121" s="18">
        <f t="shared" si="5"/>
        <v>6.4248913007204774E-4</v>
      </c>
      <c r="L121" s="9" t="str" cm="1">
        <f t="array" ref="L121">_xlfn.IFS(I121&gt;5%,"High Risk",AND(I121&gt;2%,I121&lt;5%),"Modrate Risk",I121&lt;2%, "Low Risk")</f>
        <v>Low Risk</v>
      </c>
      <c r="N121"/>
      <c r="O121"/>
      <c r="P121"/>
      <c r="Q121"/>
      <c r="R121"/>
      <c r="S121"/>
      <c r="T121"/>
      <c r="U121"/>
      <c r="V121"/>
      <c r="W121"/>
      <c r="X121"/>
      <c r="Y121"/>
      <c r="Z121"/>
      <c r="AA121"/>
      <c r="AB121"/>
      <c r="AC121"/>
      <c r="AD121"/>
      <c r="AE121"/>
      <c r="AF121"/>
      <c r="AG121"/>
      <c r="AH121"/>
      <c r="AI121"/>
      <c r="AJ121"/>
      <c r="AK121"/>
      <c r="AL121"/>
      <c r="AM121"/>
      <c r="AN121"/>
      <c r="AO121"/>
      <c r="AP121"/>
      <c r="AQ121"/>
      <c r="AR121"/>
      <c r="AS121"/>
      <c r="AT121"/>
      <c r="AU121"/>
      <c r="AV121"/>
      <c r="AW121"/>
      <c r="AX121"/>
      <c r="AY121"/>
      <c r="AZ121"/>
      <c r="BA121"/>
      <c r="BB121"/>
      <c r="BC121"/>
      <c r="BD121"/>
      <c r="BE121"/>
      <c r="BF121"/>
      <c r="BG121"/>
      <c r="BH121"/>
      <c r="BI121"/>
      <c r="BJ121"/>
      <c r="BK121"/>
      <c r="BL121"/>
      <c r="BM121"/>
      <c r="BN121"/>
      <c r="BO121"/>
      <c r="BP121"/>
      <c r="BQ121"/>
      <c r="BR121"/>
      <c r="BS121"/>
      <c r="BT121"/>
      <c r="BU121"/>
      <c r="BV121"/>
      <c r="BW121"/>
      <c r="BX121"/>
      <c r="BY121"/>
      <c r="BZ121"/>
      <c r="CA121"/>
      <c r="CB121"/>
      <c r="CC121"/>
      <c r="CD121"/>
      <c r="CE121"/>
      <c r="CF121"/>
      <c r="CG121"/>
      <c r="CH121"/>
      <c r="CI121"/>
      <c r="CJ121"/>
      <c r="CK121"/>
      <c r="CL121"/>
      <c r="CM121"/>
      <c r="CN121"/>
      <c r="CO121"/>
      <c r="CP121"/>
      <c r="CQ121"/>
      <c r="CR121"/>
      <c r="CS121"/>
      <c r="CT121"/>
      <c r="CU121"/>
      <c r="CV121"/>
      <c r="CW121"/>
      <c r="CX121"/>
      <c r="CY121"/>
      <c r="CZ121"/>
      <c r="DA121"/>
      <c r="DB121"/>
      <c r="DC121"/>
      <c r="DD121"/>
      <c r="DE121"/>
      <c r="DF121"/>
      <c r="DG121"/>
      <c r="DH121"/>
      <c r="DI121"/>
      <c r="DJ121"/>
      <c r="DK121"/>
      <c r="DL121"/>
      <c r="DM121"/>
      <c r="DN121"/>
      <c r="DO121"/>
      <c r="DP121"/>
      <c r="DQ121"/>
      <c r="DR121"/>
      <c r="DS121"/>
      <c r="DT121"/>
      <c r="DU121"/>
      <c r="DV121"/>
      <c r="DW121"/>
      <c r="DX121"/>
      <c r="DY121"/>
      <c r="DZ121"/>
      <c r="EA121"/>
      <c r="EB121"/>
      <c r="EC121"/>
      <c r="ED121"/>
      <c r="EE121"/>
      <c r="EF121"/>
      <c r="EG121"/>
      <c r="EH121"/>
      <c r="EI121"/>
      <c r="EJ121"/>
      <c r="EK121"/>
      <c r="EL121"/>
      <c r="EM121"/>
      <c r="EN121"/>
      <c r="EO121"/>
      <c r="EP121"/>
      <c r="EQ121"/>
      <c r="ER121"/>
      <c r="ES121"/>
      <c r="ET121"/>
      <c r="EU121"/>
      <c r="EV121"/>
      <c r="EW121"/>
      <c r="EX121"/>
      <c r="EY121"/>
      <c r="EZ121"/>
      <c r="FA121"/>
      <c r="FB121"/>
      <c r="FC121"/>
      <c r="FD121"/>
      <c r="FE121"/>
      <c r="FF121"/>
      <c r="FG121"/>
      <c r="FH121"/>
      <c r="FI121"/>
      <c r="FJ121"/>
      <c r="FK121"/>
      <c r="FL121"/>
      <c r="FM121"/>
      <c r="FN121"/>
      <c r="FO121"/>
      <c r="FP121"/>
      <c r="FQ121"/>
      <c r="FR121"/>
      <c r="FS121"/>
      <c r="FT121"/>
      <c r="FU121"/>
      <c r="FV121"/>
      <c r="FW121"/>
      <c r="FX121"/>
      <c r="FY121"/>
      <c r="FZ121"/>
      <c r="GA121"/>
      <c r="GB121"/>
      <c r="GC121"/>
      <c r="GD121"/>
      <c r="GE121"/>
      <c r="GF121"/>
      <c r="GG121"/>
      <c r="GH121"/>
      <c r="GI121"/>
      <c r="GJ121"/>
      <c r="GK121"/>
    </row>
    <row r="122" spans="1:193" ht="18" hidden="1" customHeight="1" x14ac:dyDescent="0.25">
      <c r="A122" s="8" t="s">
        <v>124</v>
      </c>
      <c r="B122" s="8">
        <v>53413</v>
      </c>
      <c r="C122" s="8">
        <v>6160</v>
      </c>
      <c r="D122" s="8">
        <v>189</v>
      </c>
      <c r="E122" s="8">
        <v>47064</v>
      </c>
      <c r="F122" s="8">
        <v>17138756</v>
      </c>
      <c r="G122" s="8" t="s">
        <v>196</v>
      </c>
      <c r="H122" s="1">
        <v>43888</v>
      </c>
      <c r="I122" s="14">
        <f t="shared" si="3"/>
        <v>0.11532772920450078</v>
      </c>
      <c r="J122" s="14">
        <f t="shared" si="4"/>
        <v>3.5384644187744555E-3</v>
      </c>
      <c r="K122" s="17">
        <f t="shared" si="5"/>
        <v>3.1165039049508613E-3</v>
      </c>
      <c r="L122" s="8" t="str" cm="1">
        <f t="array" ref="L122">_xlfn.IFS(I122&gt;5%,"High Risk",AND(I122&gt;2%,I122&lt;5%),"Modrate Risk",I122&lt;2%, "Low Risk")</f>
        <v>High Risk</v>
      </c>
      <c r="N122"/>
      <c r="O122"/>
      <c r="P122"/>
      <c r="Q122"/>
      <c r="R122"/>
      <c r="S122"/>
      <c r="T122"/>
      <c r="U122"/>
      <c r="V122"/>
      <c r="W122"/>
      <c r="X122"/>
      <c r="Y122"/>
      <c r="Z122"/>
      <c r="AA122"/>
      <c r="AB122"/>
      <c r="AC122"/>
      <c r="AD122"/>
      <c r="AE122"/>
      <c r="AF122"/>
      <c r="AG122"/>
      <c r="AH122"/>
      <c r="AI122"/>
      <c r="AJ122"/>
      <c r="AK122"/>
      <c r="AL122"/>
      <c r="AM122"/>
      <c r="AN122"/>
      <c r="AO122"/>
      <c r="AP122"/>
      <c r="AQ122"/>
      <c r="AR122"/>
      <c r="AS122"/>
      <c r="AT122"/>
      <c r="AU122"/>
      <c r="AV122"/>
      <c r="AW122"/>
      <c r="AX122"/>
      <c r="AY122"/>
      <c r="AZ122"/>
      <c r="BA122"/>
      <c r="BB122"/>
      <c r="BC122"/>
      <c r="BD122"/>
      <c r="BE122"/>
      <c r="BF122"/>
      <c r="BG122"/>
      <c r="BH122"/>
      <c r="BI122"/>
      <c r="BJ122"/>
      <c r="BK122"/>
      <c r="BL122"/>
      <c r="BM122"/>
      <c r="BN122"/>
      <c r="BO122"/>
      <c r="BP122"/>
      <c r="BQ122"/>
      <c r="BR122"/>
      <c r="BS122"/>
      <c r="BT122"/>
      <c r="BU122"/>
      <c r="BV122"/>
      <c r="BW122"/>
      <c r="BX122"/>
      <c r="BY122"/>
      <c r="BZ122"/>
      <c r="CA122"/>
      <c r="CB122"/>
      <c r="CC122"/>
      <c r="CD122"/>
      <c r="CE122"/>
      <c r="CF122"/>
      <c r="CG122"/>
      <c r="CH122"/>
      <c r="CI122"/>
      <c r="CJ122"/>
      <c r="CK122"/>
      <c r="CL122"/>
      <c r="CM122"/>
      <c r="CN122"/>
      <c r="CO122"/>
      <c r="CP122"/>
      <c r="CQ122"/>
      <c r="CR122"/>
      <c r="CS122"/>
      <c r="CT122"/>
      <c r="CU122"/>
      <c r="CV122"/>
      <c r="CW122"/>
      <c r="CX122"/>
      <c r="CY122"/>
      <c r="CZ122"/>
      <c r="DA122"/>
      <c r="DB122"/>
      <c r="DC122"/>
      <c r="DD122"/>
      <c r="DE122"/>
      <c r="DF122"/>
      <c r="DG122"/>
      <c r="DH122"/>
      <c r="DI122"/>
      <c r="DJ122"/>
      <c r="DK122"/>
      <c r="DL122"/>
      <c r="DM122"/>
      <c r="DN122"/>
      <c r="DO122"/>
      <c r="DP122"/>
      <c r="DQ122"/>
      <c r="DR122"/>
      <c r="DS122"/>
      <c r="DT122"/>
      <c r="DU122"/>
      <c r="DV122"/>
      <c r="DW122"/>
      <c r="DX122"/>
      <c r="DY122"/>
      <c r="DZ122"/>
      <c r="EA122"/>
      <c r="EB122"/>
      <c r="EC122"/>
      <c r="ED122"/>
      <c r="EE122"/>
      <c r="EF122"/>
      <c r="EG122"/>
      <c r="EH122"/>
      <c r="EI122"/>
      <c r="EJ122"/>
      <c r="EK122"/>
      <c r="EL122"/>
      <c r="EM122"/>
      <c r="EN122"/>
      <c r="EO122"/>
      <c r="EP122"/>
      <c r="EQ122"/>
      <c r="ER122"/>
      <c r="ES122"/>
      <c r="ET122"/>
      <c r="EU122"/>
      <c r="EV122"/>
      <c r="EW122"/>
      <c r="EX122"/>
      <c r="EY122"/>
      <c r="EZ122"/>
      <c r="FA122"/>
      <c r="FB122"/>
      <c r="FC122"/>
      <c r="FD122"/>
      <c r="FE122"/>
      <c r="FF122"/>
      <c r="FG122"/>
      <c r="FH122"/>
      <c r="FI122"/>
      <c r="FJ122"/>
      <c r="FK122"/>
      <c r="FL122"/>
      <c r="FM122"/>
      <c r="FN122"/>
      <c r="FO122"/>
      <c r="FP122"/>
      <c r="FQ122"/>
      <c r="FR122"/>
      <c r="FS122"/>
      <c r="FT122"/>
      <c r="FU122"/>
      <c r="FV122"/>
      <c r="FW122"/>
      <c r="FX122"/>
      <c r="FY122"/>
      <c r="FZ122"/>
      <c r="GA122"/>
      <c r="GB122"/>
      <c r="GC122"/>
      <c r="GD122"/>
      <c r="GE122"/>
      <c r="GF122"/>
      <c r="GG122"/>
      <c r="GH122"/>
      <c r="GI122"/>
      <c r="GJ122"/>
      <c r="GK122"/>
    </row>
    <row r="123" spans="1:193" ht="18" hidden="1" customHeight="1" x14ac:dyDescent="0.25">
      <c r="A123" s="9" t="s">
        <v>125</v>
      </c>
      <c r="B123" s="9">
        <v>1557</v>
      </c>
      <c r="C123" s="9">
        <v>22</v>
      </c>
      <c r="D123" s="9">
        <v>1514</v>
      </c>
      <c r="E123" s="9">
        <v>21</v>
      </c>
      <c r="F123" s="9">
        <v>5002100</v>
      </c>
      <c r="G123" s="9" t="s">
        <v>200</v>
      </c>
      <c r="H123" s="10">
        <v>43889</v>
      </c>
      <c r="I123" s="15">
        <f t="shared" si="3"/>
        <v>1.4129736673089274E-2</v>
      </c>
      <c r="J123" s="15">
        <f t="shared" si="4"/>
        <v>0.97238278741168915</v>
      </c>
      <c r="K123" s="18">
        <f t="shared" si="5"/>
        <v>3.112692669078987E-4</v>
      </c>
      <c r="L123" s="9" t="str" cm="1">
        <f t="array" ref="L123">_xlfn.IFS(I123&gt;5%,"High Risk",AND(I123&gt;2%,I123&lt;5%),"Modrate Risk",I123&lt;2%, "Low Risk")</f>
        <v>Low Risk</v>
      </c>
      <c r="N123"/>
      <c r="O123"/>
      <c r="P123"/>
      <c r="Q123"/>
      <c r="R123"/>
      <c r="S123"/>
      <c r="T123"/>
      <c r="U123"/>
      <c r="V123"/>
      <c r="W123"/>
      <c r="X123"/>
      <c r="Y123"/>
      <c r="Z123"/>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row>
    <row r="124" spans="1:193" ht="18" hidden="1" customHeight="1" x14ac:dyDescent="0.25">
      <c r="A124" s="8" t="s">
        <v>126</v>
      </c>
      <c r="B124" s="8">
        <v>3439</v>
      </c>
      <c r="C124" s="8">
        <v>108</v>
      </c>
      <c r="D124" s="8">
        <v>2492</v>
      </c>
      <c r="E124" s="8">
        <v>839</v>
      </c>
      <c r="F124" s="8">
        <v>6632263</v>
      </c>
      <c r="G124" s="8" t="s">
        <v>198</v>
      </c>
      <c r="H124" s="1">
        <v>43908</v>
      </c>
      <c r="I124" s="14">
        <f t="shared" si="3"/>
        <v>3.1404478045943589E-2</v>
      </c>
      <c r="J124" s="14">
        <f t="shared" si="4"/>
        <v>0.72462925268973544</v>
      </c>
      <c r="K124" s="17">
        <f t="shared" si="5"/>
        <v>5.1852587872344626E-4</v>
      </c>
      <c r="L124" s="8" t="str" cm="1">
        <f t="array" ref="L124">_xlfn.IFS(I124&gt;5%,"High Risk",AND(I124&gt;2%,I124&lt;5%),"Modrate Risk",I124&lt;2%, "Low Risk")</f>
        <v>Modrate Risk</v>
      </c>
      <c r="N124"/>
      <c r="O124"/>
      <c r="P124"/>
      <c r="Q124"/>
      <c r="R124"/>
      <c r="S124"/>
      <c r="T124"/>
      <c r="U124"/>
      <c r="V124"/>
      <c r="W124"/>
      <c r="X124"/>
      <c r="Y124"/>
      <c r="Z124"/>
      <c r="AA124"/>
      <c r="AB124"/>
      <c r="AC124"/>
      <c r="AD124"/>
      <c r="AE124"/>
      <c r="AF124"/>
      <c r="AG124"/>
      <c r="AH124"/>
      <c r="AI124"/>
      <c r="AJ124"/>
      <c r="AK124"/>
      <c r="AL124"/>
      <c r="AM124"/>
      <c r="AN124"/>
      <c r="AO124"/>
      <c r="AP124"/>
      <c r="AQ124"/>
      <c r="AR124"/>
      <c r="AS124"/>
      <c r="AT124"/>
      <c r="AU124"/>
      <c r="AV124"/>
      <c r="AW124"/>
      <c r="AX124"/>
      <c r="AY124"/>
      <c r="AZ124"/>
      <c r="BA124"/>
      <c r="BB124"/>
      <c r="BC124"/>
      <c r="BD124"/>
      <c r="BE124"/>
      <c r="BF124"/>
      <c r="BG124"/>
      <c r="BH124"/>
      <c r="BI124"/>
      <c r="BJ124"/>
      <c r="BK124"/>
      <c r="BL124"/>
      <c r="BM124"/>
      <c r="BN124"/>
      <c r="BO124"/>
      <c r="BP124"/>
      <c r="BQ124"/>
      <c r="BR124"/>
      <c r="BS124"/>
      <c r="BT124"/>
      <c r="BU124"/>
      <c r="BV124"/>
      <c r="BW124"/>
      <c r="BX124"/>
      <c r="BY124"/>
      <c r="BZ124"/>
      <c r="CA124"/>
      <c r="CB124"/>
      <c r="CC124"/>
      <c r="CD124"/>
      <c r="CE124"/>
      <c r="CF124"/>
      <c r="CG124"/>
      <c r="CH124"/>
      <c r="CI124"/>
      <c r="CJ124"/>
      <c r="CK124"/>
      <c r="CL124"/>
      <c r="CM124"/>
      <c r="CN124"/>
      <c r="CO124"/>
      <c r="CP124"/>
      <c r="CQ124"/>
      <c r="CR124"/>
      <c r="CS124"/>
      <c r="CT124"/>
      <c r="CU124"/>
      <c r="CV124"/>
      <c r="CW124"/>
      <c r="CX124"/>
      <c r="CY124"/>
      <c r="CZ124"/>
      <c r="DA124"/>
      <c r="DB124"/>
      <c r="DC124"/>
      <c r="DD124"/>
      <c r="DE124"/>
      <c r="DF124"/>
      <c r="DG124"/>
      <c r="DH124"/>
      <c r="DI124"/>
      <c r="DJ124"/>
      <c r="DK124"/>
      <c r="DL124"/>
      <c r="DM124"/>
      <c r="DN124"/>
      <c r="DO124"/>
      <c r="DP124"/>
      <c r="DQ124"/>
      <c r="DR124"/>
      <c r="DS124"/>
      <c r="DT124"/>
      <c r="DU124"/>
      <c r="DV124"/>
      <c r="DW124"/>
      <c r="DX124"/>
      <c r="DY124"/>
      <c r="DZ124"/>
      <c r="EA124"/>
      <c r="EB124"/>
      <c r="EC124"/>
      <c r="ED124"/>
      <c r="EE124"/>
      <c r="EF124"/>
      <c r="EG124"/>
      <c r="EH124"/>
      <c r="EI124"/>
      <c r="EJ124"/>
      <c r="EK124"/>
      <c r="EL124"/>
      <c r="EM124"/>
      <c r="EN124"/>
      <c r="EO124"/>
      <c r="EP124"/>
      <c r="EQ124"/>
      <c r="ER124"/>
      <c r="ES124"/>
      <c r="ET124"/>
      <c r="EU124"/>
      <c r="EV124"/>
      <c r="EW124"/>
      <c r="EX124"/>
      <c r="EY124"/>
      <c r="EZ124"/>
      <c r="FA124"/>
      <c r="FB124"/>
      <c r="FC124"/>
      <c r="FD124"/>
      <c r="FE124"/>
      <c r="FF124"/>
      <c r="FG124"/>
      <c r="FH124"/>
      <c r="FI124"/>
      <c r="FJ124"/>
      <c r="FK124"/>
      <c r="FL124"/>
      <c r="FM124"/>
      <c r="FN124"/>
      <c r="FO124"/>
      <c r="FP124"/>
      <c r="FQ124"/>
      <c r="FR124"/>
      <c r="FS124"/>
      <c r="FT124"/>
      <c r="FU124"/>
      <c r="FV124"/>
      <c r="FW124"/>
      <c r="FX124"/>
      <c r="FY124"/>
      <c r="FZ124"/>
      <c r="GA124"/>
      <c r="GB124"/>
      <c r="GC124"/>
      <c r="GD124"/>
      <c r="GE124"/>
      <c r="GF124"/>
      <c r="GG124"/>
      <c r="GH124"/>
      <c r="GI124"/>
      <c r="GJ124"/>
      <c r="GK124"/>
    </row>
    <row r="125" spans="1:193" ht="18" hidden="1" customHeight="1" x14ac:dyDescent="0.25">
      <c r="A125" s="9" t="s">
        <v>127</v>
      </c>
      <c r="B125" s="9">
        <v>1132</v>
      </c>
      <c r="C125" s="9">
        <v>69</v>
      </c>
      <c r="D125" s="9">
        <v>1027</v>
      </c>
      <c r="E125" s="9">
        <v>36</v>
      </c>
      <c r="F125" s="9">
        <v>24281433</v>
      </c>
      <c r="G125" s="9" t="s">
        <v>197</v>
      </c>
      <c r="H125" s="10">
        <v>43909</v>
      </c>
      <c r="I125" s="15">
        <f t="shared" si="3"/>
        <v>6.0954063604240286E-2</v>
      </c>
      <c r="J125" s="15">
        <f t="shared" si="4"/>
        <v>0.90724381625441697</v>
      </c>
      <c r="K125" s="18">
        <f t="shared" si="5"/>
        <v>4.6619983260460779E-5</v>
      </c>
      <c r="L125" s="9" t="str" cm="1">
        <f t="array" ref="L125">_xlfn.IFS(I125&gt;5%,"High Risk",AND(I125&gt;2%,I125&lt;5%),"Modrate Risk",I125&lt;2%, "Low Risk")</f>
        <v>High Risk</v>
      </c>
      <c r="N125"/>
      <c r="O125"/>
      <c r="P125"/>
      <c r="Q125"/>
      <c r="R125"/>
      <c r="S125"/>
      <c r="T125"/>
      <c r="U125"/>
      <c r="V125"/>
      <c r="W125"/>
      <c r="X125"/>
      <c r="Y125"/>
      <c r="Z125"/>
      <c r="AA125"/>
      <c r="AB125"/>
      <c r="AC125"/>
      <c r="AD125"/>
      <c r="AE125"/>
      <c r="AF125"/>
      <c r="AG125"/>
      <c r="AH125"/>
      <c r="AI125"/>
      <c r="AJ125"/>
      <c r="AK125"/>
      <c r="AL125"/>
      <c r="AM125"/>
      <c r="AN125"/>
      <c r="AO125"/>
      <c r="AP125"/>
      <c r="AQ125"/>
      <c r="AR125"/>
      <c r="AS125"/>
      <c r="AT125"/>
      <c r="AU125"/>
      <c r="AV125"/>
      <c r="AW125"/>
      <c r="AX125"/>
      <c r="AY125"/>
      <c r="AZ125"/>
      <c r="BA125"/>
      <c r="BB125"/>
      <c r="BC125"/>
      <c r="BD125"/>
      <c r="BE125"/>
      <c r="BF125"/>
      <c r="BG125"/>
      <c r="BH125"/>
      <c r="BI125"/>
      <c r="BJ125"/>
      <c r="BK125"/>
      <c r="BL125"/>
      <c r="BM125"/>
      <c r="BN125"/>
      <c r="BO125"/>
      <c r="BP125"/>
      <c r="BQ125"/>
      <c r="BR125"/>
      <c r="BS125"/>
      <c r="BT125"/>
      <c r="BU125"/>
      <c r="BV125"/>
      <c r="BW125"/>
      <c r="BX125"/>
      <c r="BY125"/>
      <c r="BZ125"/>
      <c r="CA125"/>
      <c r="CB125"/>
      <c r="CC125"/>
      <c r="CD125"/>
      <c r="CE125"/>
      <c r="CF125"/>
      <c r="CG125"/>
      <c r="CH125"/>
      <c r="CI125"/>
      <c r="CJ125"/>
      <c r="CK125"/>
      <c r="CL125"/>
      <c r="CM125"/>
      <c r="CN125"/>
      <c r="CO125"/>
      <c r="CP125"/>
      <c r="CQ125"/>
      <c r="CR125"/>
      <c r="CS125"/>
      <c r="CT125"/>
      <c r="CU125"/>
      <c r="CV125"/>
      <c r="CW125"/>
      <c r="CX125"/>
      <c r="CY125"/>
      <c r="CZ125"/>
      <c r="DA125"/>
      <c r="DB125"/>
      <c r="DC125"/>
      <c r="DD125"/>
      <c r="DE125"/>
      <c r="DF125"/>
      <c r="DG125"/>
      <c r="DH125"/>
      <c r="DI125"/>
      <c r="DJ125"/>
      <c r="DK125"/>
      <c r="DL125"/>
      <c r="DM125"/>
      <c r="DN125"/>
      <c r="DO125"/>
      <c r="DP125"/>
      <c r="DQ125"/>
      <c r="DR125"/>
      <c r="DS125"/>
      <c r="DT125"/>
      <c r="DU125"/>
      <c r="DV125"/>
      <c r="DW125"/>
      <c r="DX125"/>
      <c r="DY125"/>
      <c r="DZ125"/>
      <c r="EA125"/>
      <c r="EB125"/>
      <c r="EC125"/>
      <c r="ED125"/>
      <c r="EE125"/>
      <c r="EF125"/>
      <c r="EG125"/>
      <c r="EH125"/>
      <c r="EI125"/>
      <c r="EJ125"/>
      <c r="EK125"/>
      <c r="EL125"/>
      <c r="EM125"/>
      <c r="EN125"/>
      <c r="EO125"/>
      <c r="EP125"/>
      <c r="EQ125"/>
      <c r="ER125"/>
      <c r="ES125"/>
      <c r="ET125"/>
      <c r="EU125"/>
      <c r="EV125"/>
      <c r="EW125"/>
      <c r="EX125"/>
      <c r="EY125"/>
      <c r="EZ125"/>
      <c r="FA125"/>
      <c r="FB125"/>
      <c r="FC125"/>
      <c r="FD125"/>
      <c r="FE125"/>
      <c r="FF125"/>
      <c r="FG125"/>
      <c r="FH125"/>
      <c r="FI125"/>
      <c r="FJ125"/>
      <c r="FK125"/>
      <c r="FL125"/>
      <c r="FM125"/>
      <c r="FN125"/>
      <c r="FO125"/>
      <c r="FP125"/>
      <c r="FQ125"/>
      <c r="FR125"/>
      <c r="FS125"/>
      <c r="FT125"/>
      <c r="FU125"/>
      <c r="FV125"/>
      <c r="FW125"/>
      <c r="FX125"/>
      <c r="FY125"/>
      <c r="FZ125"/>
      <c r="GA125"/>
      <c r="GB125"/>
      <c r="GC125"/>
      <c r="GD125"/>
      <c r="GE125"/>
      <c r="GF125"/>
      <c r="GG125"/>
      <c r="GH125"/>
      <c r="GI125"/>
      <c r="GJ125"/>
      <c r="GK125"/>
    </row>
    <row r="126" spans="1:193" ht="18" hidden="1" customHeight="1" x14ac:dyDescent="0.25">
      <c r="A126" s="8" t="s">
        <v>128</v>
      </c>
      <c r="B126" s="8">
        <v>41180</v>
      </c>
      <c r="C126" s="8">
        <v>860</v>
      </c>
      <c r="D126" s="8">
        <v>18203</v>
      </c>
      <c r="E126" s="8">
        <v>22117</v>
      </c>
      <c r="F126" s="8">
        <v>206606300</v>
      </c>
      <c r="G126" s="8" t="s">
        <v>197</v>
      </c>
      <c r="H126" s="1">
        <v>43888</v>
      </c>
      <c r="I126" s="14">
        <f t="shared" si="3"/>
        <v>2.0883924235065566E-2</v>
      </c>
      <c r="J126" s="14">
        <f t="shared" si="4"/>
        <v>0.44203496843127732</v>
      </c>
      <c r="K126" s="17">
        <f t="shared" si="5"/>
        <v>1.9931628415977636E-4</v>
      </c>
      <c r="L126" s="8" t="str" cm="1">
        <f t="array" ref="L126">_xlfn.IFS(I126&gt;5%,"High Risk",AND(I126&gt;2%,I126&lt;5%),"Modrate Risk",I126&lt;2%, "Low Risk")</f>
        <v>Modrate Risk</v>
      </c>
      <c r="N126"/>
      <c r="O126"/>
      <c r="P126"/>
      <c r="Q126"/>
      <c r="R126"/>
      <c r="S126"/>
      <c r="T126"/>
      <c r="U126"/>
      <c r="V126"/>
      <c r="W126"/>
      <c r="X126"/>
      <c r="Y126"/>
      <c r="Z126"/>
      <c r="AA126"/>
      <c r="AB126"/>
      <c r="AC126"/>
      <c r="AD126"/>
      <c r="AE126"/>
      <c r="AF126"/>
      <c r="AG126"/>
      <c r="AH126"/>
      <c r="AI126"/>
      <c r="AJ126"/>
      <c r="AK126"/>
      <c r="AL126"/>
      <c r="AM126"/>
      <c r="AN126"/>
      <c r="AO126"/>
      <c r="AP126"/>
      <c r="AQ126"/>
      <c r="AR126"/>
      <c r="AS126"/>
      <c r="AT126"/>
      <c r="AU126"/>
      <c r="AV126"/>
      <c r="AW126"/>
      <c r="AX126"/>
      <c r="AY126"/>
      <c r="AZ126"/>
      <c r="BA126"/>
      <c r="BB126"/>
      <c r="BC126"/>
      <c r="BD126"/>
      <c r="BE126"/>
      <c r="BF126"/>
      <c r="BG126"/>
      <c r="BH126"/>
      <c r="BI126"/>
      <c r="BJ126"/>
      <c r="BK126"/>
      <c r="BL126"/>
      <c r="BM126"/>
      <c r="BN126"/>
      <c r="BO126"/>
      <c r="BP126"/>
      <c r="BQ126"/>
      <c r="BR126"/>
      <c r="BS126"/>
      <c r="BT126"/>
      <c r="BU126"/>
      <c r="BV126"/>
      <c r="BW126"/>
      <c r="BX126"/>
      <c r="BY126"/>
      <c r="BZ126"/>
      <c r="CA126"/>
      <c r="CB126"/>
      <c r="CC126"/>
      <c r="CD126"/>
      <c r="CE126"/>
      <c r="CF126"/>
      <c r="CG126"/>
      <c r="CH126"/>
      <c r="CI126"/>
      <c r="CJ126"/>
      <c r="CK126"/>
      <c r="CL126"/>
      <c r="CM126"/>
      <c r="CN126"/>
      <c r="CO126"/>
      <c r="CP126"/>
      <c r="CQ126"/>
      <c r="CR126"/>
      <c r="CS126"/>
      <c r="CT126"/>
      <c r="CU126"/>
      <c r="CV126"/>
      <c r="CW126"/>
      <c r="CX126"/>
      <c r="CY126"/>
      <c r="CZ126"/>
      <c r="DA126"/>
      <c r="DB126"/>
      <c r="DC126"/>
      <c r="DD126"/>
      <c r="DE126"/>
      <c r="DF126"/>
      <c r="DG126"/>
      <c r="DH126"/>
      <c r="DI126"/>
      <c r="DJ126"/>
      <c r="DK126"/>
      <c r="DL126"/>
      <c r="DM126"/>
      <c r="DN126"/>
      <c r="DO126"/>
      <c r="DP126"/>
      <c r="DQ126"/>
      <c r="DR126"/>
      <c r="DS126"/>
      <c r="DT126"/>
      <c r="DU126"/>
      <c r="DV126"/>
      <c r="DW126"/>
      <c r="DX126"/>
      <c r="DY126"/>
      <c r="DZ126"/>
      <c r="EA126"/>
      <c r="EB126"/>
      <c r="EC126"/>
      <c r="ED126"/>
      <c r="EE126"/>
      <c r="EF126"/>
      <c r="EG126"/>
      <c r="EH126"/>
      <c r="EI126"/>
      <c r="EJ126"/>
      <c r="EK126"/>
      <c r="EL126"/>
      <c r="EM126"/>
      <c r="EN126"/>
      <c r="EO126"/>
      <c r="EP126"/>
      <c r="EQ126"/>
      <c r="ER126"/>
      <c r="ES126"/>
      <c r="ET126"/>
      <c r="EU126"/>
      <c r="EV126"/>
      <c r="EW126"/>
      <c r="EX126"/>
      <c r="EY126"/>
      <c r="EZ126"/>
      <c r="FA126"/>
      <c r="FB126"/>
      <c r="FC126"/>
      <c r="FD126"/>
      <c r="FE126"/>
      <c r="FF126"/>
      <c r="FG126"/>
      <c r="FH126"/>
      <c r="FI126"/>
      <c r="FJ126"/>
      <c r="FK126"/>
      <c r="FL126"/>
      <c r="FM126"/>
      <c r="FN126"/>
      <c r="FO126"/>
      <c r="FP126"/>
      <c r="FQ126"/>
      <c r="FR126"/>
      <c r="FS126"/>
      <c r="FT126"/>
      <c r="FU126"/>
      <c r="FV126"/>
      <c r="FW126"/>
      <c r="FX126"/>
      <c r="FY126"/>
      <c r="FZ126"/>
      <c r="GA126"/>
      <c r="GB126"/>
      <c r="GC126"/>
      <c r="GD126"/>
      <c r="GE126"/>
      <c r="GF126"/>
      <c r="GG126"/>
      <c r="GH126"/>
      <c r="GI126"/>
      <c r="GJ126"/>
      <c r="GK126"/>
    </row>
    <row r="127" spans="1:193" ht="18" hidden="1" customHeight="1" x14ac:dyDescent="0.25">
      <c r="A127" s="9" t="s">
        <v>129</v>
      </c>
      <c r="B127" s="9">
        <v>10213</v>
      </c>
      <c r="C127" s="9">
        <v>466</v>
      </c>
      <c r="D127" s="9">
        <v>5564</v>
      </c>
      <c r="E127" s="9">
        <v>4183</v>
      </c>
      <c r="F127" s="9">
        <v>2083365</v>
      </c>
      <c r="G127" s="9" t="s">
        <v>196</v>
      </c>
      <c r="H127" s="10">
        <v>43887</v>
      </c>
      <c r="I127" s="15">
        <f t="shared" si="3"/>
        <v>4.5628121022226575E-2</v>
      </c>
      <c r="J127" s="15">
        <f t="shared" si="4"/>
        <v>0.54479584842847351</v>
      </c>
      <c r="K127" s="18">
        <f t="shared" si="5"/>
        <v>4.9021654870845966E-3</v>
      </c>
      <c r="L127" s="9" t="str" cm="1">
        <f t="array" ref="L127">_xlfn.IFS(I127&gt;5%,"High Risk",AND(I127&gt;2%,I127&lt;5%),"Modrate Risk",I127&lt;2%, "Low Risk")</f>
        <v>Modrate Risk</v>
      </c>
      <c r="N127"/>
      <c r="O127"/>
      <c r="P127"/>
      <c r="Q127"/>
      <c r="R127"/>
      <c r="S127"/>
      <c r="T127"/>
      <c r="U127"/>
      <c r="V127"/>
      <c r="W127"/>
      <c r="X127"/>
      <c r="Y127"/>
      <c r="Z127"/>
      <c r="AA127"/>
      <c r="AB127"/>
      <c r="AC127"/>
      <c r="AD127"/>
      <c r="AE127"/>
      <c r="AF127"/>
      <c r="AG127"/>
      <c r="AH127"/>
      <c r="AI127"/>
      <c r="AJ127"/>
      <c r="AK127"/>
      <c r="AL127"/>
      <c r="AM127"/>
      <c r="AN127"/>
      <c r="AO127"/>
      <c r="AP127"/>
      <c r="AQ127"/>
      <c r="AR127"/>
      <c r="AS127"/>
      <c r="AT127"/>
      <c r="AU127"/>
      <c r="AV127"/>
      <c r="AW127"/>
      <c r="AX127"/>
      <c r="AY127"/>
      <c r="AZ127"/>
      <c r="BA127"/>
      <c r="BB127"/>
      <c r="BC127"/>
      <c r="BD127"/>
      <c r="BE127"/>
      <c r="BF127"/>
      <c r="BG127"/>
      <c r="BH127"/>
      <c r="BI127"/>
      <c r="BJ127"/>
      <c r="BK127"/>
      <c r="BL127"/>
      <c r="BM127"/>
      <c r="BN127"/>
      <c r="BO127"/>
      <c r="BP127"/>
      <c r="BQ127"/>
      <c r="BR127"/>
      <c r="BS127"/>
      <c r="BT127"/>
      <c r="BU127"/>
      <c r="BV127"/>
      <c r="BW127"/>
      <c r="BX127"/>
      <c r="BY127"/>
      <c r="BZ127"/>
      <c r="CA127"/>
      <c r="CB127"/>
      <c r="CC127"/>
      <c r="CD127"/>
      <c r="CE127"/>
      <c r="CF127"/>
      <c r="CG127"/>
      <c r="CH127"/>
      <c r="CI127"/>
      <c r="CJ127"/>
      <c r="CK127"/>
      <c r="CL127"/>
      <c r="CM127"/>
      <c r="CN127"/>
      <c r="CO127"/>
      <c r="CP127"/>
      <c r="CQ127"/>
      <c r="CR127"/>
      <c r="CS127"/>
      <c r="CT127"/>
      <c r="CU127"/>
      <c r="CV127"/>
      <c r="CW127"/>
      <c r="CX127"/>
      <c r="CY127"/>
      <c r="CZ127"/>
      <c r="DA127"/>
      <c r="DB127"/>
      <c r="DC127"/>
      <c r="DD127"/>
      <c r="DE127"/>
      <c r="DF127"/>
      <c r="DG127"/>
      <c r="DH127"/>
      <c r="DI127"/>
      <c r="DJ127"/>
      <c r="DK127"/>
      <c r="DL127"/>
      <c r="DM127"/>
      <c r="DN127"/>
      <c r="DO127"/>
      <c r="DP127"/>
      <c r="DQ127"/>
      <c r="DR127"/>
      <c r="DS127"/>
      <c r="DT127"/>
      <c r="DU127"/>
      <c r="DV127"/>
      <c r="DW127"/>
      <c r="DX127"/>
      <c r="DY127"/>
      <c r="DZ127"/>
      <c r="EA127"/>
      <c r="EB127"/>
      <c r="EC127"/>
      <c r="ED127"/>
      <c r="EE127"/>
      <c r="EF127"/>
      <c r="EG127"/>
      <c r="EH127"/>
      <c r="EI127"/>
      <c r="EJ127"/>
      <c r="EK127"/>
      <c r="EL127"/>
      <c r="EM127"/>
      <c r="EN127"/>
      <c r="EO127"/>
      <c r="EP127"/>
      <c r="EQ127"/>
      <c r="ER127"/>
      <c r="ES127"/>
      <c r="ET127"/>
      <c r="EU127"/>
      <c r="EV127"/>
      <c r="EW127"/>
      <c r="EX127"/>
      <c r="EY127"/>
      <c r="EZ127"/>
      <c r="FA127"/>
      <c r="FB127"/>
      <c r="FC127"/>
      <c r="FD127"/>
      <c r="FE127"/>
      <c r="FF127"/>
      <c r="FG127"/>
      <c r="FH127"/>
      <c r="FI127"/>
      <c r="FJ127"/>
      <c r="FK127"/>
      <c r="FL127"/>
      <c r="FM127"/>
      <c r="FN127"/>
      <c r="FO127"/>
      <c r="FP127"/>
      <c r="FQ127"/>
      <c r="FR127"/>
      <c r="FS127"/>
      <c r="FT127"/>
      <c r="FU127"/>
      <c r="FV127"/>
      <c r="FW127"/>
      <c r="FX127"/>
      <c r="FY127"/>
      <c r="FZ127"/>
      <c r="GA127"/>
      <c r="GB127"/>
      <c r="GC127"/>
      <c r="GD127"/>
      <c r="GE127"/>
      <c r="GF127"/>
      <c r="GG127"/>
      <c r="GH127"/>
      <c r="GI127"/>
      <c r="GJ127"/>
      <c r="GK127"/>
    </row>
    <row r="128" spans="1:193" ht="18" hidden="1" customHeight="1" x14ac:dyDescent="0.25">
      <c r="A128" s="8" t="s">
        <v>130</v>
      </c>
      <c r="B128" s="8">
        <v>9132</v>
      </c>
      <c r="C128" s="8">
        <v>255</v>
      </c>
      <c r="D128" s="8">
        <v>8752</v>
      </c>
      <c r="E128" s="8">
        <v>125</v>
      </c>
      <c r="F128" s="8">
        <v>5425471</v>
      </c>
      <c r="G128" s="8" t="s">
        <v>196</v>
      </c>
      <c r="H128" s="1">
        <v>43887</v>
      </c>
      <c r="I128" s="14">
        <f t="shared" si="3"/>
        <v>2.7923784494086726E-2</v>
      </c>
      <c r="J128" s="14">
        <f t="shared" si="4"/>
        <v>0.95838808585194923</v>
      </c>
      <c r="K128" s="17">
        <f t="shared" si="5"/>
        <v>1.6831718389057834E-3</v>
      </c>
      <c r="L128" s="8" t="str" cm="1">
        <f t="array" ref="L128">_xlfn.IFS(I128&gt;5%,"High Risk",AND(I128&gt;2%,I128&lt;5%),"Modrate Risk",I128&lt;2%, "Low Risk")</f>
        <v>Modrate Risk</v>
      </c>
      <c r="N128"/>
      <c r="O128"/>
      <c r="P128"/>
      <c r="Q128"/>
      <c r="R128"/>
      <c r="S128"/>
      <c r="T128"/>
      <c r="U128"/>
      <c r="V128"/>
      <c r="W128"/>
      <c r="X128"/>
      <c r="Y128"/>
      <c r="Z128"/>
      <c r="AA128"/>
      <c r="AB128"/>
      <c r="AC128"/>
      <c r="AD128"/>
      <c r="AE128"/>
      <c r="AF128"/>
      <c r="AG128"/>
      <c r="AH128"/>
      <c r="AI128"/>
      <c r="AJ128"/>
      <c r="AK128"/>
      <c r="AL128"/>
      <c r="AM128"/>
      <c r="AN128"/>
      <c r="AO128"/>
      <c r="AP128"/>
      <c r="AQ128"/>
      <c r="AR128"/>
      <c r="AS128"/>
      <c r="AT128"/>
      <c r="AU128"/>
      <c r="AV128"/>
      <c r="AW128"/>
      <c r="AX128"/>
      <c r="AY128"/>
      <c r="AZ128"/>
      <c r="BA128"/>
      <c r="BB128"/>
      <c r="BC128"/>
      <c r="BD128"/>
      <c r="BE128"/>
      <c r="BF128"/>
      <c r="BG128"/>
      <c r="BH128"/>
      <c r="BI128"/>
      <c r="BJ128"/>
      <c r="BK128"/>
      <c r="BL128"/>
      <c r="BM128"/>
      <c r="BN128"/>
      <c r="BO128"/>
      <c r="BP128"/>
      <c r="BQ128"/>
      <c r="BR128"/>
      <c r="BS128"/>
      <c r="BT128"/>
      <c r="BU128"/>
      <c r="BV128"/>
      <c r="BW128"/>
      <c r="BX128"/>
      <c r="BY128"/>
      <c r="BZ128"/>
      <c r="CA128"/>
      <c r="CB128"/>
      <c r="CC128"/>
      <c r="CD128"/>
      <c r="CE128"/>
      <c r="CF128"/>
      <c r="CG128"/>
      <c r="CH128"/>
      <c r="CI128"/>
      <c r="CJ128"/>
      <c r="CK128"/>
      <c r="CL128"/>
      <c r="CM128"/>
      <c r="CN128"/>
      <c r="CO128"/>
      <c r="CP128"/>
      <c r="CQ128"/>
      <c r="CR128"/>
      <c r="CS128"/>
      <c r="CT128"/>
      <c r="CU128"/>
      <c r="CV128"/>
      <c r="CW128"/>
      <c r="CX128"/>
      <c r="CY128"/>
      <c r="CZ128"/>
      <c r="DA128"/>
      <c r="DB128"/>
      <c r="DC128"/>
      <c r="DD128"/>
      <c r="DE128"/>
      <c r="DF128"/>
      <c r="DG128"/>
      <c r="DH128"/>
      <c r="DI128"/>
      <c r="DJ128"/>
      <c r="DK128"/>
      <c r="DL128"/>
      <c r="DM128"/>
      <c r="DN128"/>
      <c r="DO128"/>
      <c r="DP128"/>
      <c r="DQ128"/>
      <c r="DR128"/>
      <c r="DS128"/>
      <c r="DT128"/>
      <c r="DU128"/>
      <c r="DV128"/>
      <c r="DW128"/>
      <c r="DX128"/>
      <c r="DY128"/>
      <c r="DZ128"/>
      <c r="EA128"/>
      <c r="EB128"/>
      <c r="EC128"/>
      <c r="ED128"/>
      <c r="EE128"/>
      <c r="EF128"/>
      <c r="EG128"/>
      <c r="EH128"/>
      <c r="EI128"/>
      <c r="EJ128"/>
      <c r="EK128"/>
      <c r="EL128"/>
      <c r="EM128"/>
      <c r="EN128"/>
      <c r="EO128"/>
      <c r="EP128"/>
      <c r="EQ128"/>
      <c r="ER128"/>
      <c r="ES128"/>
      <c r="ET128"/>
      <c r="EU128"/>
      <c r="EV128"/>
      <c r="EW128"/>
      <c r="EX128"/>
      <c r="EY128"/>
      <c r="EZ128"/>
      <c r="FA128"/>
      <c r="FB128"/>
      <c r="FC128"/>
      <c r="FD128"/>
      <c r="FE128"/>
      <c r="FF128"/>
      <c r="FG128"/>
      <c r="FH128"/>
      <c r="FI128"/>
      <c r="FJ128"/>
      <c r="FK128"/>
      <c r="FL128"/>
      <c r="FM128"/>
      <c r="FN128"/>
      <c r="FO128"/>
      <c r="FP128"/>
      <c r="FQ128"/>
      <c r="FR128"/>
      <c r="FS128"/>
      <c r="FT128"/>
      <c r="FU128"/>
      <c r="FV128"/>
      <c r="FW128"/>
      <c r="FX128"/>
      <c r="FY128"/>
      <c r="FZ128"/>
      <c r="GA128"/>
      <c r="GB128"/>
      <c r="GC128"/>
      <c r="GD128"/>
      <c r="GE128"/>
      <c r="GF128"/>
      <c r="GG128"/>
      <c r="GH128"/>
      <c r="GI128"/>
      <c r="GJ128"/>
      <c r="GK128"/>
    </row>
    <row r="129" spans="1:193" ht="18" hidden="1" customHeight="1" x14ac:dyDescent="0.25">
      <c r="A129" s="9" t="s">
        <v>131</v>
      </c>
      <c r="B129" s="9">
        <v>77058</v>
      </c>
      <c r="C129" s="9">
        <v>393</v>
      </c>
      <c r="D129" s="9">
        <v>57028</v>
      </c>
      <c r="E129" s="9">
        <v>19637</v>
      </c>
      <c r="F129" s="9">
        <v>5118446</v>
      </c>
      <c r="G129" s="9" t="s">
        <v>195</v>
      </c>
      <c r="H129" s="10">
        <v>43885</v>
      </c>
      <c r="I129" s="15">
        <f t="shared" si="3"/>
        <v>5.1000545043992833E-3</v>
      </c>
      <c r="J129" s="15">
        <f t="shared" si="4"/>
        <v>0.74006592436865737</v>
      </c>
      <c r="K129" s="18">
        <f t="shared" si="5"/>
        <v>1.5054960040606075E-2</v>
      </c>
      <c r="L129" s="9" t="str" cm="1">
        <f t="array" ref="L129">_xlfn.IFS(I129&gt;5%,"High Risk",AND(I129&gt;2%,I129&lt;5%),"Modrate Risk",I129&lt;2%, "Low Risk")</f>
        <v>Low Risk</v>
      </c>
      <c r="N129"/>
      <c r="O129"/>
      <c r="P129"/>
      <c r="Q129"/>
      <c r="R129"/>
      <c r="S129"/>
      <c r="T129"/>
      <c r="U129"/>
      <c r="V129"/>
      <c r="W129"/>
      <c r="X129"/>
      <c r="Y129"/>
      <c r="Z129"/>
      <c r="AA129"/>
      <c r="AB129"/>
      <c r="AC129"/>
      <c r="AD129"/>
      <c r="AE129"/>
      <c r="AF129"/>
      <c r="AG129"/>
      <c r="AH129"/>
      <c r="AI129"/>
      <c r="AJ129"/>
      <c r="AK129"/>
      <c r="AL129"/>
      <c r="AM129"/>
      <c r="AN129"/>
      <c r="AO129"/>
      <c r="AP129"/>
      <c r="AQ129"/>
      <c r="AR129"/>
      <c r="AS129"/>
      <c r="AT129"/>
      <c r="AU129"/>
      <c r="AV129"/>
      <c r="AW129"/>
      <c r="AX129"/>
      <c r="AY129"/>
      <c r="AZ129"/>
      <c r="BA129"/>
      <c r="BB129"/>
      <c r="BC129"/>
      <c r="BD129"/>
      <c r="BE129"/>
      <c r="BF129"/>
      <c r="BG129"/>
      <c r="BH129"/>
      <c r="BI129"/>
      <c r="BJ129"/>
      <c r="BK129"/>
      <c r="BL129"/>
      <c r="BM129"/>
      <c r="BN129"/>
      <c r="BO129"/>
      <c r="BP129"/>
      <c r="BQ129"/>
      <c r="BR129"/>
      <c r="BS129"/>
      <c r="BT129"/>
      <c r="BU129"/>
      <c r="BV129"/>
      <c r="BW129"/>
      <c r="BX129"/>
      <c r="BY129"/>
      <c r="BZ129"/>
      <c r="CA129"/>
      <c r="CB129"/>
      <c r="CC129"/>
      <c r="CD129"/>
      <c r="CE129"/>
      <c r="CF129"/>
      <c r="CG129"/>
      <c r="CH129"/>
      <c r="CI129"/>
      <c r="CJ129"/>
      <c r="CK129"/>
      <c r="CL129"/>
      <c r="CM129"/>
      <c r="CN129"/>
      <c r="CO129"/>
      <c r="CP129"/>
      <c r="CQ129"/>
      <c r="CR129"/>
      <c r="CS129"/>
      <c r="CT129"/>
      <c r="CU129"/>
      <c r="CV129"/>
      <c r="CW129"/>
      <c r="CX129"/>
      <c r="CY129"/>
      <c r="CZ129"/>
      <c r="DA129"/>
      <c r="DB129"/>
      <c r="DC129"/>
      <c r="DD129"/>
      <c r="DE129"/>
      <c r="DF129"/>
      <c r="DG129"/>
      <c r="DH129"/>
      <c r="DI129"/>
      <c r="DJ129"/>
      <c r="DK129"/>
      <c r="DL129"/>
      <c r="DM129"/>
      <c r="DN129"/>
      <c r="DO129"/>
      <c r="DP129"/>
      <c r="DQ129"/>
      <c r="DR129"/>
      <c r="DS129"/>
      <c r="DT129"/>
      <c r="DU129"/>
      <c r="DV129"/>
      <c r="DW129"/>
      <c r="DX129"/>
      <c r="DY129"/>
      <c r="DZ129"/>
      <c r="EA129"/>
      <c r="EB129"/>
      <c r="EC129"/>
      <c r="ED129"/>
      <c r="EE129"/>
      <c r="EF129"/>
      <c r="EG129"/>
      <c r="EH129"/>
      <c r="EI129"/>
      <c r="EJ129"/>
      <c r="EK129"/>
      <c r="EL129"/>
      <c r="EM129"/>
      <c r="EN129"/>
      <c r="EO129"/>
      <c r="EP129"/>
      <c r="EQ129"/>
      <c r="ER129"/>
      <c r="ES129"/>
      <c r="ET129"/>
      <c r="EU129"/>
      <c r="EV129"/>
      <c r="EW129"/>
      <c r="EX129"/>
      <c r="EY129"/>
      <c r="EZ129"/>
      <c r="FA129"/>
      <c r="FB129"/>
      <c r="FC129"/>
      <c r="FD129"/>
      <c r="FE129"/>
      <c r="FF129"/>
      <c r="FG129"/>
      <c r="FH129"/>
      <c r="FI129"/>
      <c r="FJ129"/>
      <c r="FK129"/>
      <c r="FL129"/>
      <c r="FM129"/>
      <c r="FN129"/>
      <c r="FO129"/>
      <c r="FP129"/>
      <c r="FQ129"/>
      <c r="FR129"/>
      <c r="FS129"/>
      <c r="FT129"/>
      <c r="FU129"/>
      <c r="FV129"/>
      <c r="FW129"/>
      <c r="FX129"/>
      <c r="FY129"/>
      <c r="FZ129"/>
      <c r="GA129"/>
      <c r="GB129"/>
      <c r="GC129"/>
      <c r="GD129"/>
      <c r="GE129"/>
      <c r="GF129"/>
      <c r="GG129"/>
      <c r="GH129"/>
      <c r="GI129"/>
      <c r="GJ129"/>
      <c r="GK129"/>
    </row>
    <row r="130" spans="1:193" ht="18" hidden="1" customHeight="1" x14ac:dyDescent="0.25">
      <c r="A130" s="8" t="s">
        <v>132</v>
      </c>
      <c r="B130" s="8">
        <v>274289</v>
      </c>
      <c r="C130" s="8">
        <v>5842</v>
      </c>
      <c r="D130" s="8">
        <v>241026</v>
      </c>
      <c r="E130" s="8">
        <v>27421</v>
      </c>
      <c r="F130" s="8">
        <v>221295851</v>
      </c>
      <c r="G130" s="8" t="s">
        <v>195</v>
      </c>
      <c r="H130" s="1">
        <v>43887</v>
      </c>
      <c r="I130" s="14">
        <f t="shared" si="3"/>
        <v>2.1298703192618004E-2</v>
      </c>
      <c r="J130" s="14">
        <f t="shared" si="4"/>
        <v>0.8787300985456945</v>
      </c>
      <c r="K130" s="17">
        <f t="shared" si="5"/>
        <v>1.2394674313166406E-3</v>
      </c>
      <c r="L130" s="8" t="str" cm="1">
        <f t="array" ref="L130">_xlfn.IFS(I130&gt;5%,"High Risk",AND(I130&gt;2%,I130&lt;5%),"Modrate Risk",I130&lt;2%, "Low Risk")</f>
        <v>Modrate Risk</v>
      </c>
      <c r="N130"/>
      <c r="O130"/>
      <c r="P130"/>
      <c r="Q130"/>
      <c r="R130"/>
      <c r="S130"/>
      <c r="T130"/>
      <c r="U130"/>
      <c r="V130"/>
      <c r="W130"/>
      <c r="X130"/>
      <c r="Y130"/>
      <c r="Z130"/>
      <c r="AA130"/>
      <c r="AB130"/>
      <c r="AC130"/>
      <c r="AD130"/>
      <c r="AE130"/>
      <c r="AF130"/>
      <c r="AG130"/>
      <c r="AH130"/>
      <c r="AI130"/>
      <c r="AJ130"/>
      <c r="AK130"/>
      <c r="AL130"/>
      <c r="AM130"/>
      <c r="AN130"/>
      <c r="AO130"/>
      <c r="AP130"/>
      <c r="AQ130"/>
      <c r="AR130"/>
      <c r="AS130"/>
      <c r="AT130"/>
      <c r="AU130"/>
      <c r="AV130"/>
      <c r="AW130"/>
      <c r="AX130"/>
      <c r="AY130"/>
      <c r="AZ130"/>
      <c r="BA130"/>
      <c r="BB130"/>
      <c r="BC130"/>
      <c r="BD130"/>
      <c r="BE130"/>
      <c r="BF130"/>
      <c r="BG130"/>
      <c r="BH130"/>
      <c r="BI130"/>
      <c r="BJ130"/>
      <c r="BK130"/>
      <c r="BL130"/>
      <c r="BM130"/>
      <c r="BN130"/>
      <c r="BO130"/>
      <c r="BP130"/>
      <c r="BQ130"/>
      <c r="BR130"/>
      <c r="BS130"/>
      <c r="BT130"/>
      <c r="BU130"/>
      <c r="BV130"/>
      <c r="BW130"/>
      <c r="BX130"/>
      <c r="BY130"/>
      <c r="BZ130"/>
      <c r="CA130"/>
      <c r="CB130"/>
      <c r="CC130"/>
      <c r="CD130"/>
      <c r="CE130"/>
      <c r="CF130"/>
      <c r="CG130"/>
      <c r="CH130"/>
      <c r="CI130"/>
      <c r="CJ130"/>
      <c r="CK130"/>
      <c r="CL130"/>
      <c r="CM130"/>
      <c r="CN130"/>
      <c r="CO130"/>
      <c r="CP130"/>
      <c r="CQ130"/>
      <c r="CR130"/>
      <c r="CS130"/>
      <c r="CT130"/>
      <c r="CU130"/>
      <c r="CV130"/>
      <c r="CW130"/>
      <c r="CX130"/>
      <c r="CY130"/>
      <c r="CZ130"/>
      <c r="DA130"/>
      <c r="DB130"/>
      <c r="DC130"/>
      <c r="DD130"/>
      <c r="DE130"/>
      <c r="DF130"/>
      <c r="DG130"/>
      <c r="DH130"/>
      <c r="DI130"/>
      <c r="DJ130"/>
      <c r="DK130"/>
      <c r="DL130"/>
      <c r="DM130"/>
      <c r="DN130"/>
      <c r="DO130"/>
      <c r="DP130"/>
      <c r="DQ130"/>
      <c r="DR130"/>
      <c r="DS130"/>
      <c r="DT130"/>
      <c r="DU130"/>
      <c r="DV130"/>
      <c r="DW130"/>
      <c r="DX130"/>
      <c r="DY130"/>
      <c r="DZ130"/>
      <c r="EA130"/>
      <c r="EB130"/>
      <c r="EC130"/>
      <c r="ED130"/>
      <c r="EE130"/>
      <c r="EF130"/>
      <c r="EG130"/>
      <c r="EH130"/>
      <c r="EI130"/>
      <c r="EJ130"/>
      <c r="EK130"/>
      <c r="EL130"/>
      <c r="EM130"/>
      <c r="EN130"/>
      <c r="EO130"/>
      <c r="EP130"/>
      <c r="EQ130"/>
      <c r="ER130"/>
      <c r="ES130"/>
      <c r="ET130"/>
      <c r="EU130"/>
      <c r="EV130"/>
      <c r="EW130"/>
      <c r="EX130"/>
      <c r="EY130"/>
      <c r="EZ130"/>
      <c r="FA130"/>
      <c r="FB130"/>
      <c r="FC130"/>
      <c r="FD130"/>
      <c r="FE130"/>
      <c r="FF130"/>
      <c r="FG130"/>
      <c r="FH130"/>
      <c r="FI130"/>
      <c r="FJ130"/>
      <c r="FK130"/>
      <c r="FL130"/>
      <c r="FM130"/>
      <c r="FN130"/>
      <c r="FO130"/>
      <c r="FP130"/>
      <c r="FQ130"/>
      <c r="FR130"/>
      <c r="FS130"/>
      <c r="FT130"/>
      <c r="FU130"/>
      <c r="FV130"/>
      <c r="FW130"/>
      <c r="FX130"/>
      <c r="FY130"/>
      <c r="FZ130"/>
      <c r="GA130"/>
      <c r="GB130"/>
      <c r="GC130"/>
      <c r="GD130"/>
      <c r="GE130"/>
      <c r="GF130"/>
      <c r="GG130"/>
      <c r="GH130"/>
      <c r="GI130"/>
      <c r="GJ130"/>
      <c r="GK130"/>
    </row>
    <row r="131" spans="1:193" ht="18" hidden="1" customHeight="1" x14ac:dyDescent="0.25">
      <c r="A131" s="9" t="s">
        <v>133</v>
      </c>
      <c r="B131" s="9">
        <v>61442</v>
      </c>
      <c r="C131" s="9">
        <v>1322</v>
      </c>
      <c r="D131" s="9">
        <v>35086</v>
      </c>
      <c r="E131" s="9">
        <v>25034</v>
      </c>
      <c r="F131" s="9">
        <v>5112340</v>
      </c>
      <c r="G131" s="9" t="s">
        <v>195</v>
      </c>
      <c r="H131" s="10">
        <v>43899</v>
      </c>
      <c r="I131" s="15">
        <f t="shared" si="3"/>
        <v>2.1516226685329255E-2</v>
      </c>
      <c r="J131" s="15">
        <f t="shared" si="4"/>
        <v>0.57104260929006212</v>
      </c>
      <c r="K131" s="18">
        <f t="shared" si="5"/>
        <v>1.2018371235089998E-2</v>
      </c>
      <c r="L131" s="9" t="str" cm="1">
        <f t="array" ref="L131">_xlfn.IFS(I131&gt;5%,"High Risk",AND(I131&gt;2%,I131&lt;5%),"Modrate Risk",I131&lt;2%, "Low Risk")</f>
        <v>Modrate Risk</v>
      </c>
      <c r="N131"/>
      <c r="O131"/>
      <c r="P131"/>
      <c r="Q131"/>
      <c r="R131"/>
      <c r="S131"/>
      <c r="T131"/>
      <c r="U131"/>
      <c r="V131"/>
      <c r="W131"/>
      <c r="X131"/>
      <c r="Y131"/>
      <c r="Z131"/>
      <c r="AA131"/>
      <c r="AB131"/>
      <c r="AC131"/>
      <c r="AD131"/>
      <c r="AE131"/>
      <c r="AF131"/>
      <c r="AG131"/>
      <c r="AH131"/>
      <c r="AI131"/>
      <c r="AJ131"/>
      <c r="AK131"/>
      <c r="AL131"/>
      <c r="AM131"/>
      <c r="AN131"/>
      <c r="AO131"/>
      <c r="AP131"/>
      <c r="AQ131"/>
      <c r="AR131"/>
      <c r="AS131"/>
      <c r="AT131"/>
      <c r="AU131"/>
      <c r="AV131"/>
      <c r="AW131"/>
      <c r="AX131"/>
      <c r="AY131"/>
      <c r="AZ131"/>
      <c r="BA131"/>
      <c r="BB131"/>
      <c r="BC131"/>
      <c r="BD131"/>
      <c r="BE131"/>
      <c r="BF131"/>
      <c r="BG131"/>
      <c r="BH131"/>
      <c r="BI131"/>
      <c r="BJ131"/>
      <c r="BK131"/>
      <c r="BL131"/>
      <c r="BM131"/>
      <c r="BN131"/>
      <c r="BO131"/>
      <c r="BP131"/>
      <c r="BQ131"/>
      <c r="BR131"/>
      <c r="BS131"/>
      <c r="BT131"/>
      <c r="BU131"/>
      <c r="BV131"/>
      <c r="BW131"/>
      <c r="BX131"/>
      <c r="BY131"/>
      <c r="BZ131"/>
      <c r="CA131"/>
      <c r="CB131"/>
      <c r="CC131"/>
      <c r="CD131"/>
      <c r="CE131"/>
      <c r="CF131"/>
      <c r="CG131"/>
      <c r="CH131"/>
      <c r="CI131"/>
      <c r="CJ131"/>
      <c r="CK131"/>
      <c r="CL131"/>
      <c r="CM131"/>
      <c r="CN131"/>
      <c r="CO131"/>
      <c r="CP131"/>
      <c r="CQ131"/>
      <c r="CR131"/>
      <c r="CS131"/>
      <c r="CT131"/>
      <c r="CU131"/>
      <c r="CV131"/>
      <c r="CW131"/>
      <c r="CX131"/>
      <c r="CY131"/>
      <c r="CZ131"/>
      <c r="DA131"/>
      <c r="DB131"/>
      <c r="DC131"/>
      <c r="DD131"/>
      <c r="DE131"/>
      <c r="DF131"/>
      <c r="DG131"/>
      <c r="DH131"/>
      <c r="DI131"/>
      <c r="DJ131"/>
      <c r="DK131"/>
      <c r="DL131"/>
      <c r="DM131"/>
      <c r="DN131"/>
      <c r="DO131"/>
      <c r="DP131"/>
      <c r="DQ131"/>
      <c r="DR131"/>
      <c r="DS131"/>
      <c r="DT131"/>
      <c r="DU131"/>
      <c r="DV131"/>
      <c r="DW131"/>
      <c r="DX131"/>
      <c r="DY131"/>
      <c r="DZ131"/>
      <c r="EA131"/>
      <c r="EB131"/>
      <c r="EC131"/>
      <c r="ED131"/>
      <c r="EE131"/>
      <c r="EF131"/>
      <c r="EG131"/>
      <c r="EH131"/>
      <c r="EI131"/>
      <c r="EJ131"/>
      <c r="EK131"/>
      <c r="EL131"/>
      <c r="EM131"/>
      <c r="EN131"/>
      <c r="EO131"/>
      <c r="EP131"/>
      <c r="EQ131"/>
      <c r="ER131"/>
      <c r="ES131"/>
      <c r="ET131"/>
      <c r="EU131"/>
      <c r="EV131"/>
      <c r="EW131"/>
      <c r="EX131"/>
      <c r="EY131"/>
      <c r="EZ131"/>
      <c r="FA131"/>
      <c r="FB131"/>
      <c r="FC131"/>
      <c r="FD131"/>
      <c r="FE131"/>
      <c r="FF131"/>
      <c r="FG131"/>
      <c r="FH131"/>
      <c r="FI131"/>
      <c r="FJ131"/>
      <c r="FK131"/>
      <c r="FL131"/>
      <c r="FM131"/>
      <c r="FN131"/>
      <c r="FO131"/>
      <c r="FP131"/>
      <c r="FQ131"/>
      <c r="FR131"/>
      <c r="FS131"/>
      <c r="FT131"/>
      <c r="FU131"/>
      <c r="FV131"/>
      <c r="FW131"/>
      <c r="FX131"/>
      <c r="FY131"/>
      <c r="FZ131"/>
      <c r="GA131"/>
      <c r="GB131"/>
      <c r="GC131"/>
      <c r="GD131"/>
      <c r="GE131"/>
      <c r="GF131"/>
      <c r="GG131"/>
      <c r="GH131"/>
      <c r="GI131"/>
      <c r="GJ131"/>
      <c r="GK131"/>
    </row>
    <row r="132" spans="1:193" ht="18" hidden="1" customHeight="1" x14ac:dyDescent="0.25">
      <c r="A132" s="8" t="s">
        <v>134</v>
      </c>
      <c r="B132" s="8">
        <v>62</v>
      </c>
      <c r="C132" s="8">
        <v>0</v>
      </c>
      <c r="D132" s="8">
        <v>11</v>
      </c>
      <c r="E132" s="8">
        <v>51</v>
      </c>
      <c r="F132" s="8">
        <v>8963009</v>
      </c>
      <c r="G132" s="8" t="s">
        <v>200</v>
      </c>
      <c r="H132" s="1">
        <v>43910</v>
      </c>
      <c r="I132" s="14">
        <f t="shared" ref="I132:I188" si="6">C132/B132</f>
        <v>0</v>
      </c>
      <c r="J132" s="14">
        <f t="shared" ref="J132:J188" si="7">D132/B132</f>
        <v>0.17741935483870969</v>
      </c>
      <c r="K132" s="17">
        <f t="shared" ref="K132:K188" si="8">B132/F132</f>
        <v>6.9173198420307291E-6</v>
      </c>
      <c r="L132" s="8" t="str" cm="1">
        <f t="array" ref="L132">_xlfn.IFS(I132&gt;5%,"High Risk",AND(I132&gt;2%,I132&lt;5%),"Modrate Risk",I132&lt;2%, "Low Risk")</f>
        <v>Low Risk</v>
      </c>
      <c r="N132"/>
      <c r="O132"/>
      <c r="P132"/>
      <c r="Q132"/>
      <c r="R132"/>
      <c r="S132"/>
      <c r="T132"/>
      <c r="U132"/>
      <c r="V132"/>
      <c r="W132"/>
      <c r="X132"/>
      <c r="Y132"/>
      <c r="Z132"/>
      <c r="AA132"/>
      <c r="AB132"/>
      <c r="AC132"/>
      <c r="AD132"/>
      <c r="AE132"/>
      <c r="AF132"/>
      <c r="AG132"/>
      <c r="AH132"/>
      <c r="AI132"/>
      <c r="AJ132"/>
      <c r="AK132"/>
      <c r="AL132"/>
      <c r="AM132"/>
      <c r="AN132"/>
      <c r="AO132"/>
      <c r="AP132"/>
      <c r="AQ132"/>
      <c r="AR132"/>
      <c r="AS132"/>
      <c r="AT132"/>
      <c r="AU132"/>
      <c r="AV132"/>
      <c r="AW132"/>
      <c r="AX132"/>
      <c r="AY132"/>
      <c r="AZ132"/>
      <c r="BA132"/>
      <c r="BB132"/>
      <c r="BC132"/>
      <c r="BD132"/>
      <c r="BE132"/>
      <c r="BF132"/>
      <c r="BG132"/>
      <c r="BH132"/>
      <c r="BI132"/>
      <c r="BJ132"/>
      <c r="BK132"/>
      <c r="BL132"/>
      <c r="BM132"/>
      <c r="BN132"/>
      <c r="BO132"/>
      <c r="BP132"/>
      <c r="BQ132"/>
      <c r="BR132"/>
      <c r="BS132"/>
      <c r="BT132"/>
      <c r="BU132"/>
      <c r="BV132"/>
      <c r="BW132"/>
      <c r="BX132"/>
      <c r="BY132"/>
      <c r="BZ132"/>
      <c r="CA132"/>
      <c r="CB132"/>
      <c r="CC132"/>
      <c r="CD132"/>
      <c r="CE132"/>
      <c r="CF132"/>
      <c r="CG132"/>
      <c r="CH132"/>
      <c r="CI132"/>
      <c r="CJ132"/>
      <c r="CK132"/>
      <c r="CL132"/>
      <c r="CM132"/>
      <c r="CN132"/>
      <c r="CO132"/>
      <c r="CP132"/>
      <c r="CQ132"/>
      <c r="CR132"/>
      <c r="CS132"/>
      <c r="CT132"/>
      <c r="CU132"/>
      <c r="CV132"/>
      <c r="CW132"/>
      <c r="CX132"/>
      <c r="CY132"/>
      <c r="CZ132"/>
      <c r="DA132"/>
      <c r="DB132"/>
      <c r="DC132"/>
      <c r="DD132"/>
      <c r="DE132"/>
      <c r="DF132"/>
      <c r="DG132"/>
      <c r="DH132"/>
      <c r="DI132"/>
      <c r="DJ132"/>
      <c r="DK132"/>
      <c r="DL132"/>
      <c r="DM132"/>
      <c r="DN132"/>
      <c r="DO132"/>
      <c r="DP132"/>
      <c r="DQ132"/>
      <c r="DR132"/>
      <c r="DS132"/>
      <c r="DT132"/>
      <c r="DU132"/>
      <c r="DV132"/>
      <c r="DW132"/>
      <c r="DX132"/>
      <c r="DY132"/>
      <c r="DZ132"/>
      <c r="EA132"/>
      <c r="EB132"/>
      <c r="EC132"/>
      <c r="ED132"/>
      <c r="EE132"/>
      <c r="EF132"/>
      <c r="EG132"/>
      <c r="EH132"/>
      <c r="EI132"/>
      <c r="EJ132"/>
      <c r="EK132"/>
      <c r="EL132"/>
      <c r="EM132"/>
      <c r="EN132"/>
      <c r="EO132"/>
      <c r="EP132"/>
      <c r="EQ132"/>
      <c r="ER132"/>
      <c r="ES132"/>
      <c r="ET132"/>
      <c r="EU132"/>
      <c r="EV132"/>
      <c r="EW132"/>
      <c r="EX132"/>
      <c r="EY132"/>
      <c r="EZ132"/>
      <c r="FA132"/>
      <c r="FB132"/>
      <c r="FC132"/>
      <c r="FD132"/>
      <c r="FE132"/>
      <c r="FF132"/>
      <c r="FG132"/>
      <c r="FH132"/>
      <c r="FI132"/>
      <c r="FJ132"/>
      <c r="FK132"/>
      <c r="FL132"/>
      <c r="FM132"/>
      <c r="FN132"/>
      <c r="FO132"/>
      <c r="FP132"/>
      <c r="FQ132"/>
      <c r="FR132"/>
      <c r="FS132"/>
      <c r="FT132"/>
      <c r="FU132"/>
      <c r="FV132"/>
      <c r="FW132"/>
      <c r="FX132"/>
      <c r="FY132"/>
      <c r="FZ132"/>
      <c r="GA132"/>
      <c r="GB132"/>
      <c r="GC132"/>
      <c r="GD132"/>
      <c r="GE132"/>
      <c r="GF132"/>
      <c r="GG132"/>
      <c r="GH132"/>
      <c r="GI132"/>
      <c r="GJ132"/>
      <c r="GK132"/>
    </row>
    <row r="133" spans="1:193" ht="18" hidden="1" customHeight="1" x14ac:dyDescent="0.25">
      <c r="A133" s="9" t="s">
        <v>135</v>
      </c>
      <c r="B133" s="9">
        <v>4548</v>
      </c>
      <c r="C133" s="9">
        <v>43</v>
      </c>
      <c r="D133" s="9">
        <v>2905</v>
      </c>
      <c r="E133" s="9">
        <v>1600</v>
      </c>
      <c r="F133" s="9">
        <v>7141091</v>
      </c>
      <c r="G133" s="9" t="s">
        <v>199</v>
      </c>
      <c r="H133" s="10">
        <v>43897</v>
      </c>
      <c r="I133" s="15">
        <f t="shared" si="6"/>
        <v>9.4547053649956022E-3</v>
      </c>
      <c r="J133" s="15">
        <f t="shared" si="7"/>
        <v>0.63874230430958667</v>
      </c>
      <c r="K133" s="18">
        <f t="shared" si="8"/>
        <v>6.368774743243014E-4</v>
      </c>
      <c r="L133" s="9" t="str" cm="1">
        <f t="array" ref="L133">_xlfn.IFS(I133&gt;5%,"High Risk",AND(I133&gt;2%,I133&lt;5%),"Modrate Risk",I133&lt;2%, "Low Risk")</f>
        <v>Low Risk</v>
      </c>
      <c r="N133"/>
      <c r="O133"/>
      <c r="P133"/>
      <c r="Q133"/>
      <c r="R133"/>
      <c r="S133"/>
      <c r="T133"/>
      <c r="U133"/>
      <c r="V133"/>
      <c r="W133"/>
      <c r="X133"/>
      <c r="Y133"/>
      <c r="Z133"/>
      <c r="AA133"/>
      <c r="AB133"/>
      <c r="AC133"/>
      <c r="AD133"/>
      <c r="AE133"/>
      <c r="AF133"/>
      <c r="AG133"/>
      <c r="AH133"/>
      <c r="AI133"/>
      <c r="AJ133"/>
      <c r="AK133"/>
      <c r="AL133"/>
      <c r="AM133"/>
      <c r="AN133"/>
      <c r="AO133"/>
      <c r="AP133"/>
      <c r="AQ133"/>
      <c r="AR133"/>
      <c r="AS133"/>
      <c r="AT133"/>
      <c r="AU133"/>
      <c r="AV133"/>
      <c r="AW133"/>
      <c r="AX133"/>
      <c r="AY133"/>
      <c r="AZ133"/>
      <c r="BA133"/>
      <c r="BB133"/>
      <c r="BC133"/>
      <c r="BD133"/>
      <c r="BE133"/>
      <c r="BF133"/>
      <c r="BG133"/>
      <c r="BH133"/>
      <c r="BI133"/>
      <c r="BJ133"/>
      <c r="BK133"/>
      <c r="BL133"/>
      <c r="BM133"/>
      <c r="BN133"/>
      <c r="BO133"/>
      <c r="BP133"/>
      <c r="BQ133"/>
      <c r="BR133"/>
      <c r="BS133"/>
      <c r="BT133"/>
      <c r="BU133"/>
      <c r="BV133"/>
      <c r="BW133"/>
      <c r="BX133"/>
      <c r="BY133"/>
      <c r="BZ133"/>
      <c r="CA133"/>
      <c r="CB133"/>
      <c r="CC133"/>
      <c r="CD133"/>
      <c r="CE133"/>
      <c r="CF133"/>
      <c r="CG133"/>
      <c r="CH133"/>
      <c r="CI133"/>
      <c r="CJ133"/>
      <c r="CK133"/>
      <c r="CL133"/>
      <c r="CM133"/>
      <c r="CN133"/>
      <c r="CO133"/>
      <c r="CP133"/>
      <c r="CQ133"/>
      <c r="CR133"/>
      <c r="CS133"/>
      <c r="CT133"/>
      <c r="CU133"/>
      <c r="CV133"/>
      <c r="CW133"/>
      <c r="CX133"/>
      <c r="CY133"/>
      <c r="CZ133"/>
      <c r="DA133"/>
      <c r="DB133"/>
      <c r="DC133"/>
      <c r="DD133"/>
      <c r="DE133"/>
      <c r="DF133"/>
      <c r="DG133"/>
      <c r="DH133"/>
      <c r="DI133"/>
      <c r="DJ133"/>
      <c r="DK133"/>
      <c r="DL133"/>
      <c r="DM133"/>
      <c r="DN133"/>
      <c r="DO133"/>
      <c r="DP133"/>
      <c r="DQ133"/>
      <c r="DR133"/>
      <c r="DS133"/>
      <c r="DT133"/>
      <c r="DU133"/>
      <c r="DV133"/>
      <c r="DW133"/>
      <c r="DX133"/>
      <c r="DY133"/>
      <c r="DZ133"/>
      <c r="EA133"/>
      <c r="EB133"/>
      <c r="EC133"/>
      <c r="ED133"/>
      <c r="EE133"/>
      <c r="EF133"/>
      <c r="EG133"/>
      <c r="EH133"/>
      <c r="EI133"/>
      <c r="EJ133"/>
      <c r="EK133"/>
      <c r="EL133"/>
      <c r="EM133"/>
      <c r="EN133"/>
      <c r="EO133"/>
      <c r="EP133"/>
      <c r="EQ133"/>
      <c r="ER133"/>
      <c r="ES133"/>
      <c r="ET133"/>
      <c r="EU133"/>
      <c r="EV133"/>
      <c r="EW133"/>
      <c r="EX133"/>
      <c r="EY133"/>
      <c r="EZ133"/>
      <c r="FA133"/>
      <c r="FB133"/>
      <c r="FC133"/>
      <c r="FD133"/>
      <c r="FE133"/>
      <c r="FF133"/>
      <c r="FG133"/>
      <c r="FH133"/>
      <c r="FI133"/>
      <c r="FJ133"/>
      <c r="FK133"/>
      <c r="FL133"/>
      <c r="FM133"/>
      <c r="FN133"/>
      <c r="FO133"/>
      <c r="FP133"/>
      <c r="FQ133"/>
      <c r="FR133"/>
      <c r="FS133"/>
      <c r="FT133"/>
      <c r="FU133"/>
      <c r="FV133"/>
      <c r="FW133"/>
      <c r="FX133"/>
      <c r="FY133"/>
      <c r="FZ133"/>
      <c r="GA133"/>
      <c r="GB133"/>
      <c r="GC133"/>
      <c r="GD133"/>
      <c r="GE133"/>
      <c r="GF133"/>
      <c r="GG133"/>
      <c r="GH133"/>
      <c r="GI133"/>
      <c r="GJ133"/>
      <c r="GK133"/>
    </row>
    <row r="134" spans="1:193" ht="18" customHeight="1" x14ac:dyDescent="0.25">
      <c r="A134" s="8" t="s">
        <v>136</v>
      </c>
      <c r="B134" s="8">
        <v>389717</v>
      </c>
      <c r="C134" s="8">
        <v>18418</v>
      </c>
      <c r="D134" s="8">
        <v>272547</v>
      </c>
      <c r="E134" s="8">
        <v>98752</v>
      </c>
      <c r="F134" s="8">
        <v>33016319</v>
      </c>
      <c r="G134" s="8" t="s">
        <v>199</v>
      </c>
      <c r="H134" s="1">
        <v>43896</v>
      </c>
      <c r="I134" s="14">
        <f t="shared" si="6"/>
        <v>4.7259934773181564E-2</v>
      </c>
      <c r="J134" s="14">
        <f t="shared" si="7"/>
        <v>0.69934593564047753</v>
      </c>
      <c r="K134" s="17">
        <f t="shared" si="8"/>
        <v>1.180376891803111E-2</v>
      </c>
      <c r="L134" s="8" t="str" cm="1">
        <f t="array" ref="L134">_xlfn.IFS(I134&gt;5%,"High Risk",AND(I134&gt;2%,I134&lt;5%),"Modrate Risk",I134&lt;2%, "Low Risk")</f>
        <v>Modrate Risk</v>
      </c>
      <c r="N134"/>
      <c r="O134"/>
      <c r="P134"/>
      <c r="Q134"/>
      <c r="R134"/>
      <c r="S134"/>
      <c r="T134"/>
      <c r="U134"/>
      <c r="V134"/>
      <c r="W134"/>
      <c r="X134"/>
      <c r="Y134"/>
      <c r="Z134"/>
      <c r="AA134"/>
      <c r="AB134"/>
      <c r="AC134"/>
      <c r="AD134"/>
      <c r="AE134"/>
      <c r="AF134"/>
      <c r="AG134"/>
      <c r="AH134"/>
      <c r="AI134"/>
      <c r="AJ134"/>
      <c r="AK134"/>
      <c r="AL134"/>
      <c r="AM134"/>
      <c r="AN134"/>
      <c r="AO134"/>
      <c r="AP134"/>
      <c r="AQ134"/>
      <c r="AR134"/>
      <c r="AS134"/>
      <c r="AT134"/>
      <c r="AU134"/>
      <c r="AV134"/>
      <c r="AW134"/>
      <c r="AX134"/>
      <c r="AY134"/>
      <c r="AZ134"/>
      <c r="BA134"/>
      <c r="BB134"/>
      <c r="BC134"/>
      <c r="BD134"/>
      <c r="BE134"/>
      <c r="BF134"/>
      <c r="BG134"/>
      <c r="BH134"/>
      <c r="BI134"/>
      <c r="BJ134"/>
      <c r="BK134"/>
      <c r="BL134"/>
      <c r="BM134"/>
      <c r="BN134"/>
      <c r="BO134"/>
      <c r="BP134"/>
      <c r="BQ134"/>
      <c r="BR134"/>
      <c r="BS134"/>
      <c r="BT134"/>
      <c r="BU134"/>
      <c r="BV134"/>
      <c r="BW134"/>
      <c r="BX134"/>
      <c r="BY134"/>
      <c r="BZ134"/>
      <c r="CA134"/>
      <c r="CB134"/>
      <c r="CC134"/>
      <c r="CD134"/>
      <c r="CE134"/>
      <c r="CF134"/>
      <c r="CG134"/>
      <c r="CH134"/>
      <c r="CI134"/>
      <c r="CJ134"/>
      <c r="CK134"/>
      <c r="CL134"/>
      <c r="CM134"/>
      <c r="CN134"/>
      <c r="CO134"/>
      <c r="CP134"/>
      <c r="CQ134"/>
      <c r="CR134"/>
      <c r="CS134"/>
      <c r="CT134"/>
      <c r="CU134"/>
      <c r="CV134"/>
      <c r="CW134"/>
      <c r="CX134"/>
      <c r="CY134"/>
      <c r="CZ134"/>
      <c r="DA134"/>
      <c r="DB134"/>
      <c r="DC134"/>
      <c r="DD134"/>
      <c r="DE134"/>
      <c r="DF134"/>
      <c r="DG134"/>
      <c r="DH134"/>
      <c r="DI134"/>
      <c r="DJ134"/>
      <c r="DK134"/>
      <c r="DL134"/>
      <c r="DM134"/>
      <c r="DN134"/>
      <c r="DO134"/>
      <c r="DP134"/>
      <c r="DQ134"/>
      <c r="DR134"/>
      <c r="DS134"/>
      <c r="DT134"/>
      <c r="DU134"/>
      <c r="DV134"/>
      <c r="DW134"/>
      <c r="DX134"/>
      <c r="DY134"/>
      <c r="DZ134"/>
      <c r="EA134"/>
      <c r="EB134"/>
      <c r="EC134"/>
      <c r="ED134"/>
      <c r="EE134"/>
      <c r="EF134"/>
      <c r="EG134"/>
      <c r="EH134"/>
      <c r="EI134"/>
      <c r="EJ134"/>
      <c r="EK134"/>
      <c r="EL134"/>
      <c r="EM134"/>
      <c r="EN134"/>
      <c r="EO134"/>
      <c r="EP134"/>
      <c r="EQ134"/>
      <c r="ER134"/>
      <c r="ES134"/>
      <c r="ET134"/>
      <c r="EU134"/>
      <c r="EV134"/>
      <c r="EW134"/>
      <c r="EX134"/>
      <c r="EY134"/>
      <c r="EZ134"/>
      <c r="FA134"/>
      <c r="FB134"/>
      <c r="FC134"/>
      <c r="FD134"/>
      <c r="FE134"/>
      <c r="FF134"/>
      <c r="FG134"/>
      <c r="FH134"/>
      <c r="FI134"/>
      <c r="FJ134"/>
      <c r="FK134"/>
      <c r="FL134"/>
      <c r="FM134"/>
      <c r="FN134"/>
      <c r="FO134"/>
      <c r="FP134"/>
      <c r="FQ134"/>
      <c r="FR134"/>
      <c r="FS134"/>
      <c r="FT134"/>
      <c r="FU134"/>
      <c r="FV134"/>
      <c r="FW134"/>
      <c r="FX134"/>
      <c r="FY134"/>
      <c r="FZ134"/>
      <c r="GA134"/>
      <c r="GB134"/>
      <c r="GC134"/>
      <c r="GD134"/>
      <c r="GE134"/>
      <c r="GF134"/>
      <c r="GG134"/>
      <c r="GH134"/>
      <c r="GI134"/>
      <c r="GJ134"/>
      <c r="GK134"/>
    </row>
    <row r="135" spans="1:193" ht="18" hidden="1" customHeight="1" x14ac:dyDescent="0.25">
      <c r="A135" s="9" t="s">
        <v>137</v>
      </c>
      <c r="B135" s="9">
        <v>82040</v>
      </c>
      <c r="C135" s="9">
        <v>1945</v>
      </c>
      <c r="D135" s="9">
        <v>26446</v>
      </c>
      <c r="E135" s="9">
        <v>53649</v>
      </c>
      <c r="F135" s="9">
        <v>109722719</v>
      </c>
      <c r="G135" s="9" t="s">
        <v>195</v>
      </c>
      <c r="H135" s="10">
        <v>43860</v>
      </c>
      <c r="I135" s="15">
        <f t="shared" si="6"/>
        <v>2.370794734275963E-2</v>
      </c>
      <c r="J135" s="15">
        <f t="shared" si="7"/>
        <v>0.32235494880546073</v>
      </c>
      <c r="K135" s="18">
        <f t="shared" si="8"/>
        <v>7.4770294381786148E-4</v>
      </c>
      <c r="L135" s="9" t="str" cm="1">
        <f t="array" ref="L135">_xlfn.IFS(I135&gt;5%,"High Risk",AND(I135&gt;2%,I135&lt;5%),"Modrate Risk",I135&lt;2%, "Low Risk")</f>
        <v>Modrate Risk</v>
      </c>
      <c r="N135"/>
      <c r="O135"/>
      <c r="P135"/>
      <c r="Q135"/>
      <c r="R135"/>
      <c r="S135"/>
      <c r="T135"/>
      <c r="U135"/>
      <c r="V135"/>
      <c r="W135"/>
      <c r="X135"/>
      <c r="Y135"/>
      <c r="Z135"/>
      <c r="AA135"/>
      <c r="AB135"/>
      <c r="AC135"/>
      <c r="AD135"/>
      <c r="AE135"/>
      <c r="AF135"/>
      <c r="AG135"/>
      <c r="AH135"/>
      <c r="AI135"/>
      <c r="AJ135"/>
      <c r="AK135"/>
      <c r="AL135"/>
      <c r="AM135"/>
      <c r="AN135"/>
      <c r="AO135"/>
      <c r="AP135"/>
      <c r="AQ135"/>
      <c r="AR135"/>
      <c r="AS135"/>
      <c r="AT135"/>
      <c r="AU135"/>
      <c r="AV135"/>
      <c r="AW135"/>
      <c r="AX135"/>
      <c r="AY135"/>
      <c r="AZ135"/>
      <c r="BA135"/>
      <c r="BB135"/>
      <c r="BC135"/>
      <c r="BD135"/>
      <c r="BE135"/>
      <c r="BF135"/>
      <c r="BG135"/>
      <c r="BH135"/>
      <c r="BI135"/>
      <c r="BJ135"/>
      <c r="BK135"/>
      <c r="BL135"/>
      <c r="BM135"/>
      <c r="BN135"/>
      <c r="BO135"/>
      <c r="BP135"/>
      <c r="BQ135"/>
      <c r="BR135"/>
      <c r="BS135"/>
      <c r="BT135"/>
      <c r="BU135"/>
      <c r="BV135"/>
      <c r="BW135"/>
      <c r="BX135"/>
      <c r="BY135"/>
      <c r="BZ135"/>
      <c r="CA135"/>
      <c r="CB135"/>
      <c r="CC135"/>
      <c r="CD135"/>
      <c r="CE135"/>
      <c r="CF135"/>
      <c r="CG135"/>
      <c r="CH135"/>
      <c r="CI135"/>
      <c r="CJ135"/>
      <c r="CK135"/>
      <c r="CL135"/>
      <c r="CM135"/>
      <c r="CN135"/>
      <c r="CO135"/>
      <c r="CP135"/>
      <c r="CQ135"/>
      <c r="CR135"/>
      <c r="CS135"/>
      <c r="CT135"/>
      <c r="CU135"/>
      <c r="CV135"/>
      <c r="CW135"/>
      <c r="CX135"/>
      <c r="CY135"/>
      <c r="CZ135"/>
      <c r="DA135"/>
      <c r="DB135"/>
      <c r="DC135"/>
      <c r="DD135"/>
      <c r="DE135"/>
      <c r="DF135"/>
      <c r="DG135"/>
      <c r="DH135"/>
      <c r="DI135"/>
      <c r="DJ135"/>
      <c r="DK135"/>
      <c r="DL135"/>
      <c r="DM135"/>
      <c r="DN135"/>
      <c r="DO135"/>
      <c r="DP135"/>
      <c r="DQ135"/>
      <c r="DR135"/>
      <c r="DS135"/>
      <c r="DT135"/>
      <c r="DU135"/>
      <c r="DV135"/>
      <c r="DW135"/>
      <c r="DX135"/>
      <c r="DY135"/>
      <c r="DZ135"/>
      <c r="EA135"/>
      <c r="EB135"/>
      <c r="EC135"/>
      <c r="ED135"/>
      <c r="EE135"/>
      <c r="EF135"/>
      <c r="EG135"/>
      <c r="EH135"/>
      <c r="EI135"/>
      <c r="EJ135"/>
      <c r="EK135"/>
      <c r="EL135"/>
      <c r="EM135"/>
      <c r="EN135"/>
      <c r="EO135"/>
      <c r="EP135"/>
      <c r="EQ135"/>
      <c r="ER135"/>
      <c r="ES135"/>
      <c r="ET135"/>
      <c r="EU135"/>
      <c r="EV135"/>
      <c r="EW135"/>
      <c r="EX135"/>
      <c r="EY135"/>
      <c r="EZ135"/>
      <c r="FA135"/>
      <c r="FB135"/>
      <c r="FC135"/>
      <c r="FD135"/>
      <c r="FE135"/>
      <c r="FF135"/>
      <c r="FG135"/>
      <c r="FH135"/>
      <c r="FI135"/>
      <c r="FJ135"/>
      <c r="FK135"/>
      <c r="FL135"/>
      <c r="FM135"/>
      <c r="FN135"/>
      <c r="FO135"/>
      <c r="FP135"/>
      <c r="FQ135"/>
      <c r="FR135"/>
      <c r="FS135"/>
      <c r="FT135"/>
      <c r="FU135"/>
      <c r="FV135"/>
      <c r="FW135"/>
      <c r="FX135"/>
      <c r="FY135"/>
      <c r="FZ135"/>
      <c r="GA135"/>
      <c r="GB135"/>
      <c r="GC135"/>
      <c r="GD135"/>
      <c r="GE135"/>
      <c r="GF135"/>
      <c r="GG135"/>
      <c r="GH135"/>
      <c r="GI135"/>
      <c r="GJ135"/>
      <c r="GK135"/>
    </row>
    <row r="136" spans="1:193" ht="18" hidden="1" customHeight="1" x14ac:dyDescent="0.25">
      <c r="A136" s="8" t="s">
        <v>138</v>
      </c>
      <c r="B136" s="8">
        <v>43402</v>
      </c>
      <c r="C136" s="8">
        <v>1676</v>
      </c>
      <c r="D136" s="8">
        <v>32856</v>
      </c>
      <c r="E136" s="8">
        <v>8870</v>
      </c>
      <c r="F136" s="8">
        <v>37842302</v>
      </c>
      <c r="G136" s="8" t="s">
        <v>196</v>
      </c>
      <c r="H136" s="1">
        <v>43894</v>
      </c>
      <c r="I136" s="14">
        <f t="shared" si="6"/>
        <v>3.8615731993917331E-2</v>
      </c>
      <c r="J136" s="14">
        <f t="shared" si="7"/>
        <v>0.75701580572323857</v>
      </c>
      <c r="K136" s="17">
        <f t="shared" si="8"/>
        <v>1.1469175421727779E-3</v>
      </c>
      <c r="L136" s="8" t="str" cm="1">
        <f t="array" ref="L136">_xlfn.IFS(I136&gt;5%,"High Risk",AND(I136&gt;2%,I136&lt;5%),"Modrate Risk",I136&lt;2%, "Low Risk")</f>
        <v>Modrate Risk</v>
      </c>
      <c r="N136"/>
      <c r="O136"/>
      <c r="P136"/>
      <c r="Q136"/>
      <c r="R136"/>
      <c r="S136"/>
      <c r="T136"/>
      <c r="U136"/>
      <c r="V136"/>
      <c r="W136"/>
      <c r="X136"/>
      <c r="Y136"/>
      <c r="Z136"/>
      <c r="AA136"/>
      <c r="AB136"/>
      <c r="AC136"/>
      <c r="AD136"/>
      <c r="AE136"/>
      <c r="AF136"/>
      <c r="AG136"/>
      <c r="AH136"/>
      <c r="AI136"/>
      <c r="AJ136"/>
      <c r="AK136"/>
      <c r="AL136"/>
      <c r="AM136"/>
      <c r="AN136"/>
      <c r="AO136"/>
      <c r="AP136"/>
      <c r="AQ136"/>
      <c r="AR136"/>
      <c r="AS136"/>
      <c r="AT136"/>
      <c r="AU136"/>
      <c r="AV136"/>
      <c r="AW136"/>
      <c r="AX136"/>
      <c r="AY136"/>
      <c r="AZ136"/>
      <c r="BA136"/>
      <c r="BB136"/>
      <c r="BC136"/>
      <c r="BD136"/>
      <c r="BE136"/>
      <c r="BF136"/>
      <c r="BG136"/>
      <c r="BH136"/>
      <c r="BI136"/>
      <c r="BJ136"/>
      <c r="BK136"/>
      <c r="BL136"/>
      <c r="BM136"/>
      <c r="BN136"/>
      <c r="BO136"/>
      <c r="BP136"/>
      <c r="BQ136"/>
      <c r="BR136"/>
      <c r="BS136"/>
      <c r="BT136"/>
      <c r="BU136"/>
      <c r="BV136"/>
      <c r="BW136"/>
      <c r="BX136"/>
      <c r="BY136"/>
      <c r="BZ136"/>
      <c r="CA136"/>
      <c r="CB136"/>
      <c r="CC136"/>
      <c r="CD136"/>
      <c r="CE136"/>
      <c r="CF136"/>
      <c r="CG136"/>
      <c r="CH136"/>
      <c r="CI136"/>
      <c r="CJ136"/>
      <c r="CK136"/>
      <c r="CL136"/>
      <c r="CM136"/>
      <c r="CN136"/>
      <c r="CO136"/>
      <c r="CP136"/>
      <c r="CQ136"/>
      <c r="CR136"/>
      <c r="CS136"/>
      <c r="CT136"/>
      <c r="CU136"/>
      <c r="CV136"/>
      <c r="CW136"/>
      <c r="CX136"/>
      <c r="CY136"/>
      <c r="CZ136"/>
      <c r="DA136"/>
      <c r="DB136"/>
      <c r="DC136"/>
      <c r="DD136"/>
      <c r="DE136"/>
      <c r="DF136"/>
      <c r="DG136"/>
      <c r="DH136"/>
      <c r="DI136"/>
      <c r="DJ136"/>
      <c r="DK136"/>
      <c r="DL136"/>
      <c r="DM136"/>
      <c r="DN136"/>
      <c r="DO136"/>
      <c r="DP136"/>
      <c r="DQ136"/>
      <c r="DR136"/>
      <c r="DS136"/>
      <c r="DT136"/>
      <c r="DU136"/>
      <c r="DV136"/>
      <c r="DW136"/>
      <c r="DX136"/>
      <c r="DY136"/>
      <c r="DZ136"/>
      <c r="EA136"/>
      <c r="EB136"/>
      <c r="EC136"/>
      <c r="ED136"/>
      <c r="EE136"/>
      <c r="EF136"/>
      <c r="EG136"/>
      <c r="EH136"/>
      <c r="EI136"/>
      <c r="EJ136"/>
      <c r="EK136"/>
      <c r="EL136"/>
      <c r="EM136"/>
      <c r="EN136"/>
      <c r="EO136"/>
      <c r="EP136"/>
      <c r="EQ136"/>
      <c r="ER136"/>
      <c r="ES136"/>
      <c r="ET136"/>
      <c r="EU136"/>
      <c r="EV136"/>
      <c r="EW136"/>
      <c r="EX136"/>
      <c r="EY136"/>
      <c r="EZ136"/>
      <c r="FA136"/>
      <c r="FB136"/>
      <c r="FC136"/>
      <c r="FD136"/>
      <c r="FE136"/>
      <c r="FF136"/>
      <c r="FG136"/>
      <c r="FH136"/>
      <c r="FI136"/>
      <c r="FJ136"/>
      <c r="FK136"/>
      <c r="FL136"/>
      <c r="FM136"/>
      <c r="FN136"/>
      <c r="FO136"/>
      <c r="FP136"/>
      <c r="FQ136"/>
      <c r="FR136"/>
      <c r="FS136"/>
      <c r="FT136"/>
      <c r="FU136"/>
      <c r="FV136"/>
      <c r="FW136"/>
      <c r="FX136"/>
      <c r="FY136"/>
      <c r="FZ136"/>
      <c r="GA136"/>
      <c r="GB136"/>
      <c r="GC136"/>
      <c r="GD136"/>
      <c r="GE136"/>
      <c r="GF136"/>
      <c r="GG136"/>
      <c r="GH136"/>
      <c r="GI136"/>
      <c r="GJ136"/>
      <c r="GK136"/>
    </row>
    <row r="137" spans="1:193" ht="18" hidden="1" customHeight="1" x14ac:dyDescent="0.25">
      <c r="A137" s="9" t="s">
        <v>139</v>
      </c>
      <c r="B137" s="9">
        <v>50299</v>
      </c>
      <c r="C137" s="9">
        <v>1719</v>
      </c>
      <c r="D137" s="9">
        <v>35375</v>
      </c>
      <c r="E137" s="9">
        <v>13205</v>
      </c>
      <c r="F137" s="9">
        <v>10193593</v>
      </c>
      <c r="G137" s="9" t="s">
        <v>196</v>
      </c>
      <c r="H137" s="10">
        <v>43892</v>
      </c>
      <c r="I137" s="15">
        <f t="shared" si="6"/>
        <v>3.4175629734189548E-2</v>
      </c>
      <c r="J137" s="15">
        <f t="shared" si="7"/>
        <v>0.70329430008548877</v>
      </c>
      <c r="K137" s="18">
        <f t="shared" si="8"/>
        <v>4.9343739739265632E-3</v>
      </c>
      <c r="L137" s="9" t="str" cm="1">
        <f t="array" ref="L137">_xlfn.IFS(I137&gt;5%,"High Risk",AND(I137&gt;2%,I137&lt;5%),"Modrate Risk",I137&lt;2%, "Low Risk")</f>
        <v>Modrate Risk</v>
      </c>
      <c r="N137"/>
      <c r="O137"/>
      <c r="P137"/>
      <c r="Q137"/>
      <c r="R137"/>
      <c r="S137"/>
      <c r="T137"/>
      <c r="U137"/>
      <c r="V137"/>
      <c r="W137"/>
      <c r="X137"/>
      <c r="Y137"/>
      <c r="Z137"/>
      <c r="AA137"/>
      <c r="AB137"/>
      <c r="AC137"/>
      <c r="AD137"/>
      <c r="AE137"/>
      <c r="AF137"/>
      <c r="AG137"/>
      <c r="AH137"/>
      <c r="AI137"/>
      <c r="AJ137"/>
      <c r="AK137"/>
      <c r="AL137"/>
      <c r="AM137"/>
      <c r="AN137"/>
      <c r="AO137"/>
      <c r="AP137"/>
      <c r="AQ137"/>
      <c r="AR137"/>
      <c r="AS137"/>
      <c r="AT137"/>
      <c r="AU137"/>
      <c r="AV137"/>
      <c r="AW137"/>
      <c r="AX137"/>
      <c r="AY137"/>
      <c r="AZ137"/>
      <c r="BA137"/>
      <c r="BB137"/>
      <c r="BC137"/>
      <c r="BD137"/>
      <c r="BE137"/>
      <c r="BF137"/>
      <c r="BG137"/>
      <c r="BH137"/>
      <c r="BI137"/>
      <c r="BJ137"/>
      <c r="BK137"/>
      <c r="BL137"/>
      <c r="BM137"/>
      <c r="BN137"/>
      <c r="BO137"/>
      <c r="BP137"/>
      <c r="BQ137"/>
      <c r="BR137"/>
      <c r="BS137"/>
      <c r="BT137"/>
      <c r="BU137"/>
      <c r="BV137"/>
      <c r="BW137"/>
      <c r="BX137"/>
      <c r="BY137"/>
      <c r="BZ137"/>
      <c r="CA137"/>
      <c r="CB137"/>
      <c r="CC137"/>
      <c r="CD137"/>
      <c r="CE137"/>
      <c r="CF137"/>
      <c r="CG137"/>
      <c r="CH137"/>
      <c r="CI137"/>
      <c r="CJ137"/>
      <c r="CK137"/>
      <c r="CL137"/>
      <c r="CM137"/>
      <c r="CN137"/>
      <c r="CO137"/>
      <c r="CP137"/>
      <c r="CQ137"/>
      <c r="CR137"/>
      <c r="CS137"/>
      <c r="CT137"/>
      <c r="CU137"/>
      <c r="CV137"/>
      <c r="CW137"/>
      <c r="CX137"/>
      <c r="CY137"/>
      <c r="CZ137"/>
      <c r="DA137"/>
      <c r="DB137"/>
      <c r="DC137"/>
      <c r="DD137"/>
      <c r="DE137"/>
      <c r="DF137"/>
      <c r="DG137"/>
      <c r="DH137"/>
      <c r="DI137"/>
      <c r="DJ137"/>
      <c r="DK137"/>
      <c r="DL137"/>
      <c r="DM137"/>
      <c r="DN137"/>
      <c r="DO137"/>
      <c r="DP137"/>
      <c r="DQ137"/>
      <c r="DR137"/>
      <c r="DS137"/>
      <c r="DT137"/>
      <c r="DU137"/>
      <c r="DV137"/>
      <c r="DW137"/>
      <c r="DX137"/>
      <c r="DY137"/>
      <c r="DZ137"/>
      <c r="EA137"/>
      <c r="EB137"/>
      <c r="EC137"/>
      <c r="ED137"/>
      <c r="EE137"/>
      <c r="EF137"/>
      <c r="EG137"/>
      <c r="EH137"/>
      <c r="EI137"/>
      <c r="EJ137"/>
      <c r="EK137"/>
      <c r="EL137"/>
      <c r="EM137"/>
      <c r="EN137"/>
      <c r="EO137"/>
      <c r="EP137"/>
      <c r="EQ137"/>
      <c r="ER137"/>
      <c r="ES137"/>
      <c r="ET137"/>
      <c r="EU137"/>
      <c r="EV137"/>
      <c r="EW137"/>
      <c r="EX137"/>
      <c r="EY137"/>
      <c r="EZ137"/>
      <c r="FA137"/>
      <c r="FB137"/>
      <c r="FC137"/>
      <c r="FD137"/>
      <c r="FE137"/>
      <c r="FF137"/>
      <c r="FG137"/>
      <c r="FH137"/>
      <c r="FI137"/>
      <c r="FJ137"/>
      <c r="FK137"/>
      <c r="FL137"/>
      <c r="FM137"/>
      <c r="FN137"/>
      <c r="FO137"/>
      <c r="FP137"/>
      <c r="FQ137"/>
      <c r="FR137"/>
      <c r="FS137"/>
      <c r="FT137"/>
      <c r="FU137"/>
      <c r="FV137"/>
      <c r="FW137"/>
      <c r="FX137"/>
      <c r="FY137"/>
      <c r="FZ137"/>
      <c r="GA137"/>
      <c r="GB137"/>
      <c r="GC137"/>
      <c r="GD137"/>
      <c r="GE137"/>
      <c r="GF137"/>
      <c r="GG137"/>
      <c r="GH137"/>
      <c r="GI137"/>
      <c r="GJ137"/>
      <c r="GK137"/>
    </row>
    <row r="138" spans="1:193" ht="18" hidden="1" customHeight="1" x14ac:dyDescent="0.25">
      <c r="A138" s="8" t="s">
        <v>140</v>
      </c>
      <c r="B138" s="8">
        <v>109597</v>
      </c>
      <c r="C138" s="8">
        <v>165</v>
      </c>
      <c r="D138" s="8">
        <v>106328</v>
      </c>
      <c r="E138" s="8">
        <v>3104</v>
      </c>
      <c r="F138" s="8">
        <v>2807805</v>
      </c>
      <c r="G138" s="8" t="s">
        <v>195</v>
      </c>
      <c r="H138" s="1">
        <v>43888</v>
      </c>
      <c r="I138" s="14">
        <f t="shared" si="6"/>
        <v>1.5055156619250528E-3</v>
      </c>
      <c r="J138" s="14">
        <f t="shared" si="7"/>
        <v>0.97017254121919394</v>
      </c>
      <c r="K138" s="17">
        <f t="shared" si="8"/>
        <v>3.9032981278970584E-2</v>
      </c>
      <c r="L138" s="8" t="str" cm="1">
        <f t="array" ref="L138">_xlfn.IFS(I138&gt;5%,"High Risk",AND(I138&gt;2%,I138&lt;5%),"Modrate Risk",I138&lt;2%, "Low Risk")</f>
        <v>Low Risk</v>
      </c>
      <c r="N138"/>
      <c r="O138"/>
      <c r="P138"/>
      <c r="Q138"/>
      <c r="R138"/>
      <c r="S138"/>
      <c r="T138"/>
      <c r="U138"/>
      <c r="V138"/>
      <c r="W138"/>
      <c r="X138"/>
      <c r="Y138"/>
      <c r="Z138"/>
      <c r="AA138"/>
      <c r="AB138"/>
      <c r="AC138"/>
      <c r="AD138"/>
      <c r="AE138"/>
      <c r="AF138"/>
      <c r="AG138"/>
      <c r="AH138"/>
      <c r="AI138"/>
      <c r="AJ138"/>
      <c r="AK138"/>
      <c r="AL138"/>
      <c r="AM138"/>
      <c r="AN138"/>
      <c r="AO138"/>
      <c r="AP138"/>
      <c r="AQ138"/>
      <c r="AR138"/>
      <c r="AS138"/>
      <c r="AT138"/>
      <c r="AU138"/>
      <c r="AV138"/>
      <c r="AW138"/>
      <c r="AX138"/>
      <c r="AY138"/>
      <c r="AZ138"/>
      <c r="BA138"/>
      <c r="BB138"/>
      <c r="BC138"/>
      <c r="BD138"/>
      <c r="BE138"/>
      <c r="BF138"/>
      <c r="BG138"/>
      <c r="BH138"/>
      <c r="BI138"/>
      <c r="BJ138"/>
      <c r="BK138"/>
      <c r="BL138"/>
      <c r="BM138"/>
      <c r="BN138"/>
      <c r="BO138"/>
      <c r="BP138"/>
      <c r="BQ138"/>
      <c r="BR138"/>
      <c r="BS138"/>
      <c r="BT138"/>
      <c r="BU138"/>
      <c r="BV138"/>
      <c r="BW138"/>
      <c r="BX138"/>
      <c r="BY138"/>
      <c r="BZ138"/>
      <c r="CA138"/>
      <c r="CB138"/>
      <c r="CC138"/>
      <c r="CD138"/>
      <c r="CE138"/>
      <c r="CF138"/>
      <c r="CG138"/>
      <c r="CH138"/>
      <c r="CI138"/>
      <c r="CJ138"/>
      <c r="CK138"/>
      <c r="CL138"/>
      <c r="CM138"/>
      <c r="CN138"/>
      <c r="CO138"/>
      <c r="CP138"/>
      <c r="CQ138"/>
      <c r="CR138"/>
      <c r="CS138"/>
      <c r="CT138"/>
      <c r="CU138"/>
      <c r="CV138"/>
      <c r="CW138"/>
      <c r="CX138"/>
      <c r="CY138"/>
      <c r="CZ138"/>
      <c r="DA138"/>
      <c r="DB138"/>
      <c r="DC138"/>
      <c r="DD138"/>
      <c r="DE138"/>
      <c r="DF138"/>
      <c r="DG138"/>
      <c r="DH138"/>
      <c r="DI138"/>
      <c r="DJ138"/>
      <c r="DK138"/>
      <c r="DL138"/>
      <c r="DM138"/>
      <c r="DN138"/>
      <c r="DO138"/>
      <c r="DP138"/>
      <c r="DQ138"/>
      <c r="DR138"/>
      <c r="DS138"/>
      <c r="DT138"/>
      <c r="DU138"/>
      <c r="DV138"/>
      <c r="DW138"/>
      <c r="DX138"/>
      <c r="DY138"/>
      <c r="DZ138"/>
      <c r="EA138"/>
      <c r="EB138"/>
      <c r="EC138"/>
      <c r="ED138"/>
      <c r="EE138"/>
      <c r="EF138"/>
      <c r="EG138"/>
      <c r="EH138"/>
      <c r="EI138"/>
      <c r="EJ138"/>
      <c r="EK138"/>
      <c r="EL138"/>
      <c r="EM138"/>
      <c r="EN138"/>
      <c r="EO138"/>
      <c r="EP138"/>
      <c r="EQ138"/>
      <c r="ER138"/>
      <c r="ES138"/>
      <c r="ET138"/>
      <c r="EU138"/>
      <c r="EV138"/>
      <c r="EW138"/>
      <c r="EX138"/>
      <c r="EY138"/>
      <c r="EZ138"/>
      <c r="FA138"/>
      <c r="FB138"/>
      <c r="FC138"/>
      <c r="FD138"/>
      <c r="FE138"/>
      <c r="FF138"/>
      <c r="FG138"/>
      <c r="FH138"/>
      <c r="FI138"/>
      <c r="FJ138"/>
      <c r="FK138"/>
      <c r="FL138"/>
      <c r="FM138"/>
      <c r="FN138"/>
      <c r="FO138"/>
      <c r="FP138"/>
      <c r="FQ138"/>
      <c r="FR138"/>
      <c r="FS138"/>
      <c r="FT138"/>
      <c r="FU138"/>
      <c r="FV138"/>
      <c r="FW138"/>
      <c r="FX138"/>
      <c r="FY138"/>
      <c r="FZ138"/>
      <c r="GA138"/>
      <c r="GB138"/>
      <c r="GC138"/>
      <c r="GD138"/>
      <c r="GE138"/>
      <c r="GF138"/>
      <c r="GG138"/>
      <c r="GH138"/>
      <c r="GI138"/>
      <c r="GJ138"/>
      <c r="GK138"/>
    </row>
    <row r="139" spans="1:193" ht="18" hidden="1" customHeight="1" x14ac:dyDescent="0.25">
      <c r="A139" s="9" t="s">
        <v>141</v>
      </c>
      <c r="B139" s="9">
        <v>45902</v>
      </c>
      <c r="C139" s="9">
        <v>2206</v>
      </c>
      <c r="D139" s="9">
        <v>25794</v>
      </c>
      <c r="E139" s="9">
        <v>17902</v>
      </c>
      <c r="F139" s="9">
        <v>19224023</v>
      </c>
      <c r="G139" s="9" t="s">
        <v>196</v>
      </c>
      <c r="H139" s="10">
        <v>43887</v>
      </c>
      <c r="I139" s="15">
        <f t="shared" si="6"/>
        <v>4.805890810857915E-2</v>
      </c>
      <c r="J139" s="15">
        <f t="shared" si="7"/>
        <v>0.56193629907193587</v>
      </c>
      <c r="K139" s="18">
        <f t="shared" si="8"/>
        <v>2.3877416293145303E-3</v>
      </c>
      <c r="L139" s="9" t="str" cm="1">
        <f t="array" ref="L139">_xlfn.IFS(I139&gt;5%,"High Risk",AND(I139&gt;2%,I139&lt;5%),"Modrate Risk",I139&lt;2%, "Low Risk")</f>
        <v>Modrate Risk</v>
      </c>
      <c r="N139"/>
      <c r="O139"/>
      <c r="P139"/>
      <c r="Q139"/>
      <c r="R139"/>
      <c r="S139"/>
      <c r="T139"/>
      <c r="U139"/>
      <c r="V139"/>
      <c r="W139"/>
      <c r="X139"/>
      <c r="Y139"/>
      <c r="Z139"/>
      <c r="AA139"/>
      <c r="AB139"/>
      <c r="AC139"/>
      <c r="AD139"/>
      <c r="AE139"/>
      <c r="AF139"/>
      <c r="AG139"/>
      <c r="AH139"/>
      <c r="AI139"/>
      <c r="AJ139"/>
      <c r="AK139"/>
      <c r="AL139"/>
      <c r="AM139"/>
      <c r="AN139"/>
      <c r="AO139"/>
      <c r="AP139"/>
      <c r="AQ139"/>
      <c r="AR139"/>
      <c r="AS139"/>
      <c r="AT139"/>
      <c r="AU139"/>
      <c r="AV139"/>
      <c r="AW139"/>
      <c r="AX139"/>
      <c r="AY139"/>
      <c r="AZ139"/>
      <c r="BA139"/>
      <c r="BB139"/>
      <c r="BC139"/>
      <c r="BD139"/>
      <c r="BE139"/>
      <c r="BF139"/>
      <c r="BG139"/>
      <c r="BH139"/>
      <c r="BI139"/>
      <c r="BJ139"/>
      <c r="BK139"/>
      <c r="BL139"/>
      <c r="BM139"/>
      <c r="BN139"/>
      <c r="BO139"/>
      <c r="BP139"/>
      <c r="BQ139"/>
      <c r="BR139"/>
      <c r="BS139"/>
      <c r="BT139"/>
      <c r="BU139"/>
      <c r="BV139"/>
      <c r="BW139"/>
      <c r="BX139"/>
      <c r="BY139"/>
      <c r="BZ139"/>
      <c r="CA139"/>
      <c r="CB139"/>
      <c r="CC139"/>
      <c r="CD139"/>
      <c r="CE139"/>
      <c r="CF139"/>
      <c r="CG139"/>
      <c r="CH139"/>
      <c r="CI139"/>
      <c r="CJ139"/>
      <c r="CK139"/>
      <c r="CL139"/>
      <c r="CM139"/>
      <c r="CN139"/>
      <c r="CO139"/>
      <c r="CP139"/>
      <c r="CQ139"/>
      <c r="CR139"/>
      <c r="CS139"/>
      <c r="CT139"/>
      <c r="CU139"/>
      <c r="CV139"/>
      <c r="CW139"/>
      <c r="CX139"/>
      <c r="CY139"/>
      <c r="CZ139"/>
      <c r="DA139"/>
      <c r="DB139"/>
      <c r="DC139"/>
      <c r="DD139"/>
      <c r="DE139"/>
      <c r="DF139"/>
      <c r="DG139"/>
      <c r="DH139"/>
      <c r="DI139"/>
      <c r="DJ139"/>
      <c r="DK139"/>
      <c r="DL139"/>
      <c r="DM139"/>
      <c r="DN139"/>
      <c r="DO139"/>
      <c r="DP139"/>
      <c r="DQ139"/>
      <c r="DR139"/>
      <c r="DS139"/>
      <c r="DT139"/>
      <c r="DU139"/>
      <c r="DV139"/>
      <c r="DW139"/>
      <c r="DX139"/>
      <c r="DY139"/>
      <c r="DZ139"/>
      <c r="EA139"/>
      <c r="EB139"/>
      <c r="EC139"/>
      <c r="ED139"/>
      <c r="EE139"/>
      <c r="EF139"/>
      <c r="EG139"/>
      <c r="EH139"/>
      <c r="EI139"/>
      <c r="EJ139"/>
      <c r="EK139"/>
      <c r="EL139"/>
      <c r="EM139"/>
      <c r="EN139"/>
      <c r="EO139"/>
      <c r="EP139"/>
      <c r="EQ139"/>
      <c r="ER139"/>
      <c r="ES139"/>
      <c r="ET139"/>
      <c r="EU139"/>
      <c r="EV139"/>
      <c r="EW139"/>
      <c r="EX139"/>
      <c r="EY139"/>
      <c r="EZ139"/>
      <c r="FA139"/>
      <c r="FB139"/>
      <c r="FC139"/>
      <c r="FD139"/>
      <c r="FE139"/>
      <c r="FF139"/>
      <c r="FG139"/>
      <c r="FH139"/>
      <c r="FI139"/>
      <c r="FJ139"/>
      <c r="FK139"/>
      <c r="FL139"/>
      <c r="FM139"/>
      <c r="FN139"/>
      <c r="FO139"/>
      <c r="FP139"/>
      <c r="FQ139"/>
      <c r="FR139"/>
      <c r="FS139"/>
      <c r="FT139"/>
      <c r="FU139"/>
      <c r="FV139"/>
      <c r="FW139"/>
      <c r="FX139"/>
      <c r="FY139"/>
      <c r="FZ139"/>
      <c r="GA139"/>
      <c r="GB139"/>
      <c r="GC139"/>
      <c r="GD139"/>
      <c r="GE139"/>
      <c r="GF139"/>
      <c r="GG139"/>
      <c r="GH139"/>
      <c r="GI139"/>
      <c r="GJ139"/>
      <c r="GK139"/>
    </row>
    <row r="140" spans="1:193" ht="18" customHeight="1" x14ac:dyDescent="0.25">
      <c r="A140" s="8" t="s">
        <v>142</v>
      </c>
      <c r="B140" s="8">
        <v>816680</v>
      </c>
      <c r="C140" s="8">
        <v>13334</v>
      </c>
      <c r="D140" s="8">
        <v>602249</v>
      </c>
      <c r="E140" s="8">
        <v>201097</v>
      </c>
      <c r="F140" s="8">
        <v>145940924</v>
      </c>
      <c r="G140" s="8" t="s">
        <v>196</v>
      </c>
      <c r="H140" s="1">
        <v>43861</v>
      </c>
      <c r="I140" s="14">
        <f t="shared" si="6"/>
        <v>1.6327080374197972E-2</v>
      </c>
      <c r="J140" s="14">
        <f t="shared" si="7"/>
        <v>0.73743571533525987</v>
      </c>
      <c r="K140" s="17">
        <f t="shared" si="8"/>
        <v>5.5959629253820543E-3</v>
      </c>
      <c r="L140" s="8" t="str" cm="1">
        <f t="array" ref="L140">_xlfn.IFS(I140&gt;5%,"High Risk",AND(I140&gt;2%,I140&lt;5%),"Modrate Risk",I140&lt;2%, "Low Risk")</f>
        <v>Low Risk</v>
      </c>
      <c r="N140"/>
      <c r="O140"/>
      <c r="P140"/>
      <c r="Q140"/>
      <c r="R140"/>
      <c r="S140"/>
      <c r="T140"/>
      <c r="U140"/>
      <c r="V140"/>
      <c r="W140"/>
      <c r="X140"/>
      <c r="Y140"/>
      <c r="Z140"/>
      <c r="AA140"/>
      <c r="AB140"/>
      <c r="AC140"/>
      <c r="AD140"/>
      <c r="AE140"/>
      <c r="AF140"/>
      <c r="AG140"/>
      <c r="AH140"/>
      <c r="AI140"/>
      <c r="AJ140"/>
      <c r="AK140"/>
      <c r="AL140"/>
      <c r="AM140"/>
      <c r="AN140"/>
      <c r="AO140"/>
      <c r="AP140"/>
      <c r="AQ140"/>
      <c r="AR140"/>
      <c r="AS140"/>
      <c r="AT140"/>
      <c r="AU140"/>
      <c r="AV140"/>
      <c r="AW140"/>
      <c r="AX140"/>
      <c r="AY140"/>
      <c r="AZ140"/>
      <c r="BA140"/>
      <c r="BB140"/>
      <c r="BC140"/>
      <c r="BD140"/>
      <c r="BE140"/>
      <c r="BF140"/>
      <c r="BG140"/>
      <c r="BH140"/>
      <c r="BI140"/>
      <c r="BJ140"/>
      <c r="BK140"/>
      <c r="BL140"/>
      <c r="BM140"/>
      <c r="BN140"/>
      <c r="BO140"/>
      <c r="BP140"/>
      <c r="BQ140"/>
      <c r="BR140"/>
      <c r="BS140"/>
      <c r="BT140"/>
      <c r="BU140"/>
      <c r="BV140"/>
      <c r="BW140"/>
      <c r="BX140"/>
      <c r="BY140"/>
      <c r="BZ140"/>
      <c r="CA140"/>
      <c r="CB140"/>
      <c r="CC140"/>
      <c r="CD140"/>
      <c r="CE140"/>
      <c r="CF140"/>
      <c r="CG140"/>
      <c r="CH140"/>
      <c r="CI140"/>
      <c r="CJ140"/>
      <c r="CK140"/>
      <c r="CL140"/>
      <c r="CM140"/>
      <c r="CN140"/>
      <c r="CO140"/>
      <c r="CP140"/>
      <c r="CQ140"/>
      <c r="CR140"/>
      <c r="CS140"/>
      <c r="CT140"/>
      <c r="CU140"/>
      <c r="CV140"/>
      <c r="CW140"/>
      <c r="CX140"/>
      <c r="CY140"/>
      <c r="CZ140"/>
      <c r="DA140"/>
      <c r="DB140"/>
      <c r="DC140"/>
      <c r="DD140"/>
      <c r="DE140"/>
      <c r="DF140"/>
      <c r="DG140"/>
      <c r="DH140"/>
      <c r="DI140"/>
      <c r="DJ140"/>
      <c r="DK140"/>
      <c r="DL140"/>
      <c r="DM140"/>
      <c r="DN140"/>
      <c r="DO140"/>
      <c r="DP140"/>
      <c r="DQ140"/>
      <c r="DR140"/>
      <c r="DS140"/>
      <c r="DT140"/>
      <c r="DU140"/>
      <c r="DV140"/>
      <c r="DW140"/>
      <c r="DX140"/>
      <c r="DY140"/>
      <c r="DZ140"/>
      <c r="EA140"/>
      <c r="EB140"/>
      <c r="EC140"/>
      <c r="ED140"/>
      <c r="EE140"/>
      <c r="EF140"/>
      <c r="EG140"/>
      <c r="EH140"/>
      <c r="EI140"/>
      <c r="EJ140"/>
      <c r="EK140"/>
      <c r="EL140"/>
      <c r="EM140"/>
      <c r="EN140"/>
      <c r="EO140"/>
      <c r="EP140"/>
      <c r="EQ140"/>
      <c r="ER140"/>
      <c r="ES140"/>
      <c r="ET140"/>
      <c r="EU140"/>
      <c r="EV140"/>
      <c r="EW140"/>
      <c r="EX140"/>
      <c r="EY140"/>
      <c r="EZ140"/>
      <c r="FA140"/>
      <c r="FB140"/>
      <c r="FC140"/>
      <c r="FD140"/>
      <c r="FE140"/>
      <c r="FF140"/>
      <c r="FG140"/>
      <c r="FH140"/>
      <c r="FI140"/>
      <c r="FJ140"/>
      <c r="FK140"/>
      <c r="FL140"/>
      <c r="FM140"/>
      <c r="FN140"/>
      <c r="FO140"/>
      <c r="FP140"/>
      <c r="FQ140"/>
      <c r="FR140"/>
      <c r="FS140"/>
      <c r="FT140"/>
      <c r="FU140"/>
      <c r="FV140"/>
      <c r="FW140"/>
      <c r="FX140"/>
      <c r="FY140"/>
      <c r="FZ140"/>
      <c r="GA140"/>
      <c r="GB140"/>
      <c r="GC140"/>
      <c r="GD140"/>
      <c r="GE140"/>
      <c r="GF140"/>
      <c r="GG140"/>
      <c r="GH140"/>
      <c r="GI140"/>
      <c r="GJ140"/>
      <c r="GK140"/>
    </row>
    <row r="141" spans="1:193" ht="18" hidden="1" customHeight="1" x14ac:dyDescent="0.25">
      <c r="A141" s="9" t="s">
        <v>143</v>
      </c>
      <c r="B141" s="9">
        <v>1879</v>
      </c>
      <c r="C141" s="9">
        <v>5</v>
      </c>
      <c r="D141" s="9">
        <v>975</v>
      </c>
      <c r="E141" s="9">
        <v>899</v>
      </c>
      <c r="F141" s="9">
        <v>12981546</v>
      </c>
      <c r="G141" s="9" t="s">
        <v>197</v>
      </c>
      <c r="H141" s="10">
        <v>43904</v>
      </c>
      <c r="I141" s="15">
        <f t="shared" si="6"/>
        <v>2.6609898882384245E-3</v>
      </c>
      <c r="J141" s="15">
        <f t="shared" si="7"/>
        <v>0.51889302820649286</v>
      </c>
      <c r="K141" s="18">
        <f t="shared" si="8"/>
        <v>1.4474393111575461E-4</v>
      </c>
      <c r="L141" s="9" t="str" cm="1">
        <f t="array" ref="L141">_xlfn.IFS(I141&gt;5%,"High Risk",AND(I141&gt;2%,I141&lt;5%),"Modrate Risk",I141&lt;2%, "Low Risk")</f>
        <v>Low Risk</v>
      </c>
      <c r="N141"/>
      <c r="O141"/>
      <c r="P141"/>
      <c r="Q141"/>
      <c r="R141"/>
      <c r="S141"/>
      <c r="T141"/>
      <c r="U141"/>
      <c r="V141"/>
      <c r="W141"/>
      <c r="X141"/>
      <c r="Y141"/>
      <c r="Z141"/>
      <c r="AA141"/>
      <c r="AB141"/>
      <c r="AC141"/>
      <c r="AD141"/>
      <c r="AE141"/>
      <c r="AF141"/>
      <c r="AG141"/>
      <c r="AH141"/>
      <c r="AI141"/>
      <c r="AJ141"/>
      <c r="AK141"/>
      <c r="AL141"/>
      <c r="AM141"/>
      <c r="AN141"/>
      <c r="AO141"/>
      <c r="AP141"/>
      <c r="AQ141"/>
      <c r="AR141"/>
      <c r="AS141"/>
      <c r="AT141"/>
      <c r="AU141"/>
      <c r="AV141"/>
      <c r="AW141"/>
      <c r="AX141"/>
      <c r="AY141"/>
      <c r="AZ141"/>
      <c r="BA141"/>
      <c r="BB141"/>
      <c r="BC141"/>
      <c r="BD141"/>
      <c r="BE141"/>
      <c r="BF141"/>
      <c r="BG141"/>
      <c r="BH141"/>
      <c r="BI141"/>
      <c r="BJ141"/>
      <c r="BK141"/>
      <c r="BL141"/>
      <c r="BM141"/>
      <c r="BN141"/>
      <c r="BO141"/>
      <c r="BP141"/>
      <c r="BQ141"/>
      <c r="BR141"/>
      <c r="BS141"/>
      <c r="BT141"/>
      <c r="BU141"/>
      <c r="BV141"/>
      <c r="BW141"/>
      <c r="BX141"/>
      <c r="BY141"/>
      <c r="BZ141"/>
      <c r="CA141"/>
      <c r="CB141"/>
      <c r="CC141"/>
      <c r="CD141"/>
      <c r="CE141"/>
      <c r="CF141"/>
      <c r="CG141"/>
      <c r="CH141"/>
      <c r="CI141"/>
      <c r="CJ141"/>
      <c r="CK141"/>
      <c r="CL141"/>
      <c r="CM141"/>
      <c r="CN141"/>
      <c r="CO141"/>
      <c r="CP141"/>
      <c r="CQ141"/>
      <c r="CR141"/>
      <c r="CS141"/>
      <c r="CT141"/>
      <c r="CU141"/>
      <c r="CV141"/>
      <c r="CW141"/>
      <c r="CX141"/>
      <c r="CY141"/>
      <c r="CZ141"/>
      <c r="DA141"/>
      <c r="DB141"/>
      <c r="DC141"/>
      <c r="DD141"/>
      <c r="DE141"/>
      <c r="DF141"/>
      <c r="DG141"/>
      <c r="DH141"/>
      <c r="DI141"/>
      <c r="DJ141"/>
      <c r="DK141"/>
      <c r="DL141"/>
      <c r="DM141"/>
      <c r="DN141"/>
      <c r="DO141"/>
      <c r="DP141"/>
      <c r="DQ141"/>
      <c r="DR141"/>
      <c r="DS141"/>
      <c r="DT141"/>
      <c r="DU141"/>
      <c r="DV141"/>
      <c r="DW141"/>
      <c r="DX141"/>
      <c r="DY141"/>
      <c r="DZ141"/>
      <c r="EA141"/>
      <c r="EB141"/>
      <c r="EC141"/>
      <c r="ED141"/>
      <c r="EE141"/>
      <c r="EF141"/>
      <c r="EG141"/>
      <c r="EH141"/>
      <c r="EI141"/>
      <c r="EJ141"/>
      <c r="EK141"/>
      <c r="EL141"/>
      <c r="EM141"/>
      <c r="EN141"/>
      <c r="EO141"/>
      <c r="EP141"/>
      <c r="EQ141"/>
      <c r="ER141"/>
      <c r="ES141"/>
      <c r="ET141"/>
      <c r="EU141"/>
      <c r="EV141"/>
      <c r="EW141"/>
      <c r="EX141"/>
      <c r="EY141"/>
      <c r="EZ141"/>
      <c r="FA141"/>
      <c r="FB141"/>
      <c r="FC141"/>
      <c r="FD141"/>
      <c r="FE141"/>
      <c r="FF141"/>
      <c r="FG141"/>
      <c r="FH141"/>
      <c r="FI141"/>
      <c r="FJ141"/>
      <c r="FK141"/>
      <c r="FL141"/>
      <c r="FM141"/>
      <c r="FN141"/>
      <c r="FO141"/>
      <c r="FP141"/>
      <c r="FQ141"/>
      <c r="FR141"/>
      <c r="FS141"/>
      <c r="FT141"/>
      <c r="FU141"/>
      <c r="FV141"/>
      <c r="FW141"/>
      <c r="FX141"/>
      <c r="FY141"/>
      <c r="FZ141"/>
      <c r="GA141"/>
      <c r="GB141"/>
      <c r="GC141"/>
      <c r="GD141"/>
      <c r="GE141"/>
      <c r="GF141"/>
      <c r="GG141"/>
      <c r="GH141"/>
      <c r="GI141"/>
      <c r="GJ141"/>
      <c r="GK141"/>
    </row>
    <row r="142" spans="1:193" ht="18" hidden="1" customHeight="1" x14ac:dyDescent="0.25">
      <c r="A142" s="8" t="s">
        <v>144</v>
      </c>
      <c r="B142" s="8">
        <v>17</v>
      </c>
      <c r="C142" s="8">
        <v>0</v>
      </c>
      <c r="D142" s="8">
        <v>15</v>
      </c>
      <c r="E142" s="8">
        <v>2</v>
      </c>
      <c r="F142" s="8">
        <v>53237</v>
      </c>
      <c r="G142" s="8" t="s">
        <v>198</v>
      </c>
      <c r="H142" s="1">
        <v>43914</v>
      </c>
      <c r="I142" s="14">
        <f t="shared" si="6"/>
        <v>0</v>
      </c>
      <c r="J142" s="14">
        <f t="shared" si="7"/>
        <v>0.88235294117647056</v>
      </c>
      <c r="K142" s="17">
        <f t="shared" si="8"/>
        <v>3.1932678400360654E-4</v>
      </c>
      <c r="L142" s="8" t="str" cm="1">
        <f t="array" ref="L142">_xlfn.IFS(I142&gt;5%,"High Risk",AND(I142&gt;2%,I142&lt;5%),"Modrate Risk",I142&lt;2%, "Low Risk")</f>
        <v>Low Risk</v>
      </c>
      <c r="N142"/>
      <c r="O142"/>
      <c r="P142"/>
      <c r="Q142"/>
      <c r="R142"/>
      <c r="S142"/>
      <c r="T142"/>
      <c r="U142"/>
      <c r="V142"/>
      <c r="W142"/>
      <c r="X142"/>
      <c r="Y142"/>
      <c r="Z142"/>
      <c r="AA142"/>
      <c r="AB142"/>
      <c r="AC142"/>
      <c r="AD142"/>
      <c r="AE142"/>
      <c r="AF142"/>
      <c r="AG142"/>
      <c r="AH142"/>
      <c r="AI142"/>
      <c r="AJ142"/>
      <c r="AK142"/>
      <c r="AL142"/>
      <c r="AM142"/>
      <c r="AN142"/>
      <c r="AO142"/>
      <c r="AP142"/>
      <c r="AQ142"/>
      <c r="AR142"/>
      <c r="AS142"/>
      <c r="AT142"/>
      <c r="AU142"/>
      <c r="AV142"/>
      <c r="AW142"/>
      <c r="AX142"/>
      <c r="AY142"/>
      <c r="AZ142"/>
      <c r="BA142"/>
      <c r="BB142"/>
      <c r="BC142"/>
      <c r="BD142"/>
      <c r="BE142"/>
      <c r="BF142"/>
      <c r="BG142"/>
      <c r="BH142"/>
      <c r="BI142"/>
      <c r="BJ142"/>
      <c r="BK142"/>
      <c r="BL142"/>
      <c r="BM142"/>
      <c r="BN142"/>
      <c r="BO142"/>
      <c r="BP142"/>
      <c r="BQ142"/>
      <c r="BR142"/>
      <c r="BS142"/>
      <c r="BT142"/>
      <c r="BU142"/>
      <c r="BV142"/>
      <c r="BW142"/>
      <c r="BX142"/>
      <c r="BY142"/>
      <c r="BZ142"/>
      <c r="CA142"/>
      <c r="CB142"/>
      <c r="CC142"/>
      <c r="CD142"/>
      <c r="CE142"/>
      <c r="CF142"/>
      <c r="CG142"/>
      <c r="CH142"/>
      <c r="CI142"/>
      <c r="CJ142"/>
      <c r="CK142"/>
      <c r="CL142"/>
      <c r="CM142"/>
      <c r="CN142"/>
      <c r="CO142"/>
      <c r="CP142"/>
      <c r="CQ142"/>
      <c r="CR142"/>
      <c r="CS142"/>
      <c r="CT142"/>
      <c r="CU142"/>
      <c r="CV142"/>
      <c r="CW142"/>
      <c r="CX142"/>
      <c r="CY142"/>
      <c r="CZ142"/>
      <c r="DA142"/>
      <c r="DB142"/>
      <c r="DC142"/>
      <c r="DD142"/>
      <c r="DE142"/>
      <c r="DF142"/>
      <c r="DG142"/>
      <c r="DH142"/>
      <c r="DI142"/>
      <c r="DJ142"/>
      <c r="DK142"/>
      <c r="DL142"/>
      <c r="DM142"/>
      <c r="DN142"/>
      <c r="DO142"/>
      <c r="DP142"/>
      <c r="DQ142"/>
      <c r="DR142"/>
      <c r="DS142"/>
      <c r="DT142"/>
      <c r="DU142"/>
      <c r="DV142"/>
      <c r="DW142"/>
      <c r="DX142"/>
      <c r="DY142"/>
      <c r="DZ142"/>
      <c r="EA142"/>
      <c r="EB142"/>
      <c r="EC142"/>
      <c r="ED142"/>
      <c r="EE142"/>
      <c r="EF142"/>
      <c r="EG142"/>
      <c r="EH142"/>
      <c r="EI142"/>
      <c r="EJ142"/>
      <c r="EK142"/>
      <c r="EL142"/>
      <c r="EM142"/>
      <c r="EN142"/>
      <c r="EO142"/>
      <c r="EP142"/>
      <c r="EQ142"/>
      <c r="ER142"/>
      <c r="ES142"/>
      <c r="ET142"/>
      <c r="EU142"/>
      <c r="EV142"/>
      <c r="EW142"/>
      <c r="EX142"/>
      <c r="EY142"/>
      <c r="EZ142"/>
      <c r="FA142"/>
      <c r="FB142"/>
      <c r="FC142"/>
      <c r="FD142"/>
      <c r="FE142"/>
      <c r="FF142"/>
      <c r="FG142"/>
      <c r="FH142"/>
      <c r="FI142"/>
      <c r="FJ142"/>
      <c r="FK142"/>
      <c r="FL142"/>
      <c r="FM142"/>
      <c r="FN142"/>
      <c r="FO142"/>
      <c r="FP142"/>
      <c r="FQ142"/>
      <c r="FR142"/>
      <c r="FS142"/>
      <c r="FT142"/>
      <c r="FU142"/>
      <c r="FV142"/>
      <c r="FW142"/>
      <c r="FX142"/>
      <c r="FY142"/>
      <c r="FZ142"/>
      <c r="GA142"/>
      <c r="GB142"/>
      <c r="GC142"/>
      <c r="GD142"/>
      <c r="GE142"/>
      <c r="GF142"/>
      <c r="GG142"/>
      <c r="GH142"/>
      <c r="GI142"/>
      <c r="GJ142"/>
      <c r="GK142"/>
    </row>
    <row r="143" spans="1:193" ht="18" hidden="1" customHeight="1" x14ac:dyDescent="0.25">
      <c r="A143" s="9" t="s">
        <v>145</v>
      </c>
      <c r="B143" s="9">
        <v>24</v>
      </c>
      <c r="C143" s="9">
        <v>0</v>
      </c>
      <c r="D143" s="9">
        <v>22</v>
      </c>
      <c r="E143" s="9">
        <v>2</v>
      </c>
      <c r="F143" s="9">
        <v>183712</v>
      </c>
      <c r="G143" s="9" t="s">
        <v>198</v>
      </c>
      <c r="H143" s="10">
        <v>43903</v>
      </c>
      <c r="I143" s="15">
        <f t="shared" si="6"/>
        <v>0</v>
      </c>
      <c r="J143" s="15">
        <f t="shared" si="7"/>
        <v>0.91666666666666663</v>
      </c>
      <c r="K143" s="18">
        <f t="shared" si="8"/>
        <v>1.306392614527086E-4</v>
      </c>
      <c r="L143" s="9" t="str" cm="1">
        <f t="array" ref="L143">_xlfn.IFS(I143&gt;5%,"High Risk",AND(I143&gt;2%,I143&lt;5%),"Modrate Risk",I143&lt;2%, "Low Risk")</f>
        <v>Low Risk</v>
      </c>
      <c r="N143"/>
      <c r="O143"/>
      <c r="P143"/>
      <c r="Q143"/>
      <c r="R143"/>
      <c r="S143"/>
      <c r="T143"/>
      <c r="U143"/>
      <c r="V143"/>
      <c r="W143"/>
      <c r="X143"/>
      <c r="Y143"/>
      <c r="Z143"/>
      <c r="AA143"/>
      <c r="AB143"/>
      <c r="AC143"/>
      <c r="AD143"/>
      <c r="AE143"/>
      <c r="AF143"/>
      <c r="AG143"/>
      <c r="AH143"/>
      <c r="AI143"/>
      <c r="AJ143"/>
      <c r="AK143"/>
      <c r="AL143"/>
      <c r="AM143"/>
      <c r="AN143"/>
      <c r="AO143"/>
      <c r="AP143"/>
      <c r="AQ143"/>
      <c r="AR143"/>
      <c r="AS143"/>
      <c r="AT143"/>
      <c r="AU143"/>
      <c r="AV143"/>
      <c r="AW143"/>
      <c r="AX143"/>
      <c r="AY143"/>
      <c r="AZ143"/>
      <c r="BA143"/>
      <c r="BB143"/>
      <c r="BC143"/>
      <c r="BD143"/>
      <c r="BE143"/>
      <c r="BF143"/>
      <c r="BG143"/>
      <c r="BH143"/>
      <c r="BI143"/>
      <c r="BJ143"/>
      <c r="BK143"/>
      <c r="BL143"/>
      <c r="BM143"/>
      <c r="BN143"/>
      <c r="BO143"/>
      <c r="BP143"/>
      <c r="BQ143"/>
      <c r="BR143"/>
      <c r="BS143"/>
      <c r="BT143"/>
      <c r="BU143"/>
      <c r="BV143"/>
      <c r="BW143"/>
      <c r="BX143"/>
      <c r="BY143"/>
      <c r="BZ143"/>
      <c r="CA143"/>
      <c r="CB143"/>
      <c r="CC143"/>
      <c r="CD143"/>
      <c r="CE143"/>
      <c r="CF143"/>
      <c r="CG143"/>
      <c r="CH143"/>
      <c r="CI143"/>
      <c r="CJ143"/>
      <c r="CK143"/>
      <c r="CL143"/>
      <c r="CM143"/>
      <c r="CN143"/>
      <c r="CO143"/>
      <c r="CP143"/>
      <c r="CQ143"/>
      <c r="CR143"/>
      <c r="CS143"/>
      <c r="CT143"/>
      <c r="CU143"/>
      <c r="CV143"/>
      <c r="CW143"/>
      <c r="CX143"/>
      <c r="CY143"/>
      <c r="CZ143"/>
      <c r="DA143"/>
      <c r="DB143"/>
      <c r="DC143"/>
      <c r="DD143"/>
      <c r="DE143"/>
      <c r="DF143"/>
      <c r="DG143"/>
      <c r="DH143"/>
      <c r="DI143"/>
      <c r="DJ143"/>
      <c r="DK143"/>
      <c r="DL143"/>
      <c r="DM143"/>
      <c r="DN143"/>
      <c r="DO143"/>
      <c r="DP143"/>
      <c r="DQ143"/>
      <c r="DR143"/>
      <c r="DS143"/>
      <c r="DT143"/>
      <c r="DU143"/>
      <c r="DV143"/>
      <c r="DW143"/>
      <c r="DX143"/>
      <c r="DY143"/>
      <c r="DZ143"/>
      <c r="EA143"/>
      <c r="EB143"/>
      <c r="EC143"/>
      <c r="ED143"/>
      <c r="EE143"/>
      <c r="EF143"/>
      <c r="EG143"/>
      <c r="EH143"/>
      <c r="EI143"/>
      <c r="EJ143"/>
      <c r="EK143"/>
      <c r="EL143"/>
      <c r="EM143"/>
      <c r="EN143"/>
      <c r="EO143"/>
      <c r="EP143"/>
      <c r="EQ143"/>
      <c r="ER143"/>
      <c r="ES143"/>
      <c r="ET143"/>
      <c r="EU143"/>
      <c r="EV143"/>
      <c r="EW143"/>
      <c r="EX143"/>
      <c r="EY143"/>
      <c r="EZ143"/>
      <c r="FA143"/>
      <c r="FB143"/>
      <c r="FC143"/>
      <c r="FD143"/>
      <c r="FE143"/>
      <c r="FF143"/>
      <c r="FG143"/>
      <c r="FH143"/>
      <c r="FI143"/>
      <c r="FJ143"/>
      <c r="FK143"/>
      <c r="FL143"/>
      <c r="FM143"/>
      <c r="FN143"/>
      <c r="FO143"/>
      <c r="FP143"/>
      <c r="FQ143"/>
      <c r="FR143"/>
      <c r="FS143"/>
      <c r="FT143"/>
      <c r="FU143"/>
      <c r="FV143"/>
      <c r="FW143"/>
      <c r="FX143"/>
      <c r="FY143"/>
      <c r="FZ143"/>
      <c r="GA143"/>
      <c r="GB143"/>
      <c r="GC143"/>
      <c r="GD143"/>
      <c r="GE143"/>
      <c r="GF143"/>
      <c r="GG143"/>
      <c r="GH143"/>
      <c r="GI143"/>
      <c r="GJ143"/>
      <c r="GK143"/>
    </row>
    <row r="144" spans="1:193" ht="18" hidden="1" customHeight="1" x14ac:dyDescent="0.25">
      <c r="A144" s="8" t="s">
        <v>146</v>
      </c>
      <c r="B144" s="8">
        <v>52</v>
      </c>
      <c r="C144" s="8">
        <v>0</v>
      </c>
      <c r="D144" s="8">
        <v>39</v>
      </c>
      <c r="E144" s="8">
        <v>13</v>
      </c>
      <c r="F144" s="11">
        <v>104000</v>
      </c>
      <c r="G144" s="8" t="s">
        <v>198</v>
      </c>
      <c r="H144" s="1">
        <v>43901</v>
      </c>
      <c r="I144" s="14">
        <f t="shared" si="6"/>
        <v>0</v>
      </c>
      <c r="J144" s="14">
        <f t="shared" si="7"/>
        <v>0.75</v>
      </c>
      <c r="K144" s="17">
        <f t="shared" si="8"/>
        <v>5.0000000000000001E-4</v>
      </c>
      <c r="L144" s="8" t="str" cm="1">
        <f t="array" ref="L144">_xlfn.IFS(I144&gt;5%,"High Risk",AND(I144&gt;2%,I144&lt;5%),"Modrate Risk",I144&lt;2%, "Low Risk")</f>
        <v>Low Risk</v>
      </c>
      <c r="N144"/>
      <c r="O144"/>
      <c r="P144"/>
      <c r="Q144"/>
      <c r="R144"/>
      <c r="S144"/>
      <c r="T144"/>
      <c r="U144"/>
      <c r="V144"/>
      <c r="W144"/>
      <c r="X144"/>
      <c r="Y144"/>
      <c r="Z144"/>
      <c r="AA144"/>
      <c r="AB144"/>
      <c r="AC144"/>
      <c r="AD144"/>
      <c r="AE144"/>
      <c r="AF144"/>
      <c r="AG144"/>
      <c r="AH144"/>
      <c r="AI144"/>
      <c r="AJ144"/>
      <c r="AK144"/>
      <c r="AL144"/>
      <c r="AM144"/>
      <c r="AN144"/>
      <c r="AO144"/>
      <c r="AP144"/>
      <c r="AQ144"/>
      <c r="AR144"/>
      <c r="AS144"/>
      <c r="AT144"/>
      <c r="AU144"/>
      <c r="AV144"/>
      <c r="AW144"/>
      <c r="AX144"/>
      <c r="AY144"/>
      <c r="AZ144"/>
      <c r="BA144"/>
      <c r="BB144"/>
      <c r="BC144"/>
      <c r="BD144"/>
      <c r="BE144"/>
      <c r="BF144"/>
      <c r="BG144"/>
      <c r="BH144"/>
      <c r="BI144"/>
      <c r="BJ144"/>
      <c r="BK144"/>
      <c r="BL144"/>
      <c r="BM144"/>
      <c r="BN144"/>
      <c r="BO144"/>
      <c r="BP144"/>
      <c r="BQ144"/>
      <c r="BR144"/>
      <c r="BS144"/>
      <c r="BT144"/>
      <c r="BU144"/>
      <c r="BV144"/>
      <c r="BW144"/>
      <c r="BX144"/>
      <c r="BY144"/>
      <c r="BZ144"/>
      <c r="CA144"/>
      <c r="CB144"/>
      <c r="CC144"/>
      <c r="CD144"/>
      <c r="CE144"/>
      <c r="CF144"/>
      <c r="CG144"/>
      <c r="CH144"/>
      <c r="CI144"/>
      <c r="CJ144"/>
      <c r="CK144"/>
      <c r="CL144"/>
      <c r="CM144"/>
      <c r="CN144"/>
      <c r="CO144"/>
      <c r="CP144"/>
      <c r="CQ144"/>
      <c r="CR144"/>
      <c r="CS144"/>
      <c r="CT144"/>
      <c r="CU144"/>
      <c r="CV144"/>
      <c r="CW144"/>
      <c r="CX144"/>
      <c r="CY144"/>
      <c r="CZ144"/>
      <c r="DA144"/>
      <c r="DB144"/>
      <c r="DC144"/>
      <c r="DD144"/>
      <c r="DE144"/>
      <c r="DF144"/>
      <c r="DG144"/>
      <c r="DH144"/>
      <c r="DI144"/>
      <c r="DJ144"/>
      <c r="DK144"/>
      <c r="DL144"/>
      <c r="DM144"/>
      <c r="DN144"/>
      <c r="DO144"/>
      <c r="DP144"/>
      <c r="DQ144"/>
      <c r="DR144"/>
      <c r="DS144"/>
      <c r="DT144"/>
      <c r="DU144"/>
      <c r="DV144"/>
      <c r="DW144"/>
      <c r="DX144"/>
      <c r="DY144"/>
      <c r="DZ144"/>
      <c r="EA144"/>
      <c r="EB144"/>
      <c r="EC144"/>
      <c r="ED144"/>
      <c r="EE144"/>
      <c r="EF144"/>
      <c r="EG144"/>
      <c r="EH144"/>
      <c r="EI144"/>
      <c r="EJ144"/>
      <c r="EK144"/>
      <c r="EL144"/>
      <c r="EM144"/>
      <c r="EN144"/>
      <c r="EO144"/>
      <c r="EP144"/>
      <c r="EQ144"/>
      <c r="ER144"/>
      <c r="ES144"/>
      <c r="ET144"/>
      <c r="EU144"/>
      <c r="EV144"/>
      <c r="EW144"/>
      <c r="EX144"/>
      <c r="EY144"/>
      <c r="EZ144"/>
      <c r="FA144"/>
      <c r="FB144"/>
      <c r="FC144"/>
      <c r="FD144"/>
      <c r="FE144"/>
      <c r="FF144"/>
      <c r="FG144"/>
      <c r="FH144"/>
      <c r="FI144"/>
      <c r="FJ144"/>
      <c r="FK144"/>
      <c r="FL144"/>
      <c r="FM144"/>
      <c r="FN144"/>
      <c r="FO144"/>
      <c r="FP144"/>
      <c r="FQ144"/>
      <c r="FR144"/>
      <c r="FS144"/>
      <c r="FT144"/>
      <c r="FU144"/>
      <c r="FV144"/>
      <c r="FW144"/>
      <c r="FX144"/>
      <c r="FY144"/>
      <c r="FZ144"/>
      <c r="GA144"/>
      <c r="GB144"/>
      <c r="GC144"/>
      <c r="GD144"/>
      <c r="GE144"/>
      <c r="GF144"/>
      <c r="GG144"/>
      <c r="GH144"/>
      <c r="GI144"/>
      <c r="GJ144"/>
      <c r="GK144"/>
    </row>
    <row r="145" spans="1:193" ht="18" hidden="1" customHeight="1" x14ac:dyDescent="0.25">
      <c r="A145" s="9" t="s">
        <v>147</v>
      </c>
      <c r="B145" s="9">
        <v>699</v>
      </c>
      <c r="C145" s="9">
        <v>42</v>
      </c>
      <c r="D145" s="9">
        <v>657</v>
      </c>
      <c r="E145" s="9">
        <v>0</v>
      </c>
      <c r="F145" s="9">
        <v>33938</v>
      </c>
      <c r="G145" s="9" t="s">
        <v>196</v>
      </c>
      <c r="H145" s="10">
        <v>43888</v>
      </c>
      <c r="I145" s="15">
        <f t="shared" si="6"/>
        <v>6.0085836909871244E-2</v>
      </c>
      <c r="J145" s="15">
        <f t="shared" si="7"/>
        <v>0.93991416309012876</v>
      </c>
      <c r="K145" s="18">
        <f t="shared" si="8"/>
        <v>2.0596381637102954E-2</v>
      </c>
      <c r="L145" s="9" t="str" cm="1">
        <f t="array" ref="L145">_xlfn.IFS(I145&gt;5%,"High Risk",AND(I145&gt;2%,I145&lt;5%),"Modrate Risk",I145&lt;2%, "Low Risk")</f>
        <v>High Risk</v>
      </c>
      <c r="N145"/>
      <c r="O145"/>
      <c r="P145"/>
      <c r="Q145"/>
      <c r="R145"/>
      <c r="S145"/>
      <c r="T145"/>
      <c r="U145"/>
      <c r="V145"/>
      <c r="W145"/>
      <c r="X145"/>
      <c r="Y145"/>
      <c r="Z145"/>
      <c r="AA145"/>
      <c r="AB145"/>
      <c r="AC145"/>
      <c r="AD145"/>
      <c r="AE145"/>
      <c r="AF145"/>
      <c r="AG145"/>
      <c r="AH145"/>
      <c r="AI145"/>
      <c r="AJ145"/>
      <c r="AK145"/>
      <c r="AL145"/>
      <c r="AM145"/>
      <c r="AN145"/>
      <c r="AO145"/>
      <c r="AP145"/>
      <c r="AQ145"/>
      <c r="AR145"/>
      <c r="AS145"/>
      <c r="AT145"/>
      <c r="AU145"/>
      <c r="AV145"/>
      <c r="AW145"/>
      <c r="AX145"/>
      <c r="AY145"/>
      <c r="AZ145"/>
      <c r="BA145"/>
      <c r="BB145"/>
      <c r="BC145"/>
      <c r="BD145"/>
      <c r="BE145"/>
      <c r="BF145"/>
      <c r="BG145"/>
      <c r="BH145"/>
      <c r="BI145"/>
      <c r="BJ145"/>
      <c r="BK145"/>
      <c r="BL145"/>
      <c r="BM145"/>
      <c r="BN145"/>
      <c r="BO145"/>
      <c r="BP145"/>
      <c r="BQ145"/>
      <c r="BR145"/>
      <c r="BS145"/>
      <c r="BT145"/>
      <c r="BU145"/>
      <c r="BV145"/>
      <c r="BW145"/>
      <c r="BX145"/>
      <c r="BY145"/>
      <c r="BZ145"/>
      <c r="CA145"/>
      <c r="CB145"/>
      <c r="CC145"/>
      <c r="CD145"/>
      <c r="CE145"/>
      <c r="CF145"/>
      <c r="CG145"/>
      <c r="CH145"/>
      <c r="CI145"/>
      <c r="CJ145"/>
      <c r="CK145"/>
      <c r="CL145"/>
      <c r="CM145"/>
      <c r="CN145"/>
      <c r="CO145"/>
      <c r="CP145"/>
      <c r="CQ145"/>
      <c r="CR145"/>
      <c r="CS145"/>
      <c r="CT145"/>
      <c r="CU145"/>
      <c r="CV145"/>
      <c r="CW145"/>
      <c r="CX145"/>
      <c r="CY145"/>
      <c r="CZ145"/>
      <c r="DA145"/>
      <c r="DB145"/>
      <c r="DC145"/>
      <c r="DD145"/>
      <c r="DE145"/>
      <c r="DF145"/>
      <c r="DG145"/>
      <c r="DH145"/>
      <c r="DI145"/>
      <c r="DJ145"/>
      <c r="DK145"/>
      <c r="DL145"/>
      <c r="DM145"/>
      <c r="DN145"/>
      <c r="DO145"/>
      <c r="DP145"/>
      <c r="DQ145"/>
      <c r="DR145"/>
      <c r="DS145"/>
      <c r="DT145"/>
      <c r="DU145"/>
      <c r="DV145"/>
      <c r="DW145"/>
      <c r="DX145"/>
      <c r="DY145"/>
      <c r="DZ145"/>
      <c r="EA145"/>
      <c r="EB145"/>
      <c r="EC145"/>
      <c r="ED145"/>
      <c r="EE145"/>
      <c r="EF145"/>
      <c r="EG145"/>
      <c r="EH145"/>
      <c r="EI145"/>
      <c r="EJ145"/>
      <c r="EK145"/>
      <c r="EL145"/>
      <c r="EM145"/>
      <c r="EN145"/>
      <c r="EO145"/>
      <c r="EP145"/>
      <c r="EQ145"/>
      <c r="ER145"/>
      <c r="ES145"/>
      <c r="ET145"/>
      <c r="EU145"/>
      <c r="EV145"/>
      <c r="EW145"/>
      <c r="EX145"/>
      <c r="EY145"/>
      <c r="EZ145"/>
      <c r="FA145"/>
      <c r="FB145"/>
      <c r="FC145"/>
      <c r="FD145"/>
      <c r="FE145"/>
      <c r="FF145"/>
      <c r="FG145"/>
      <c r="FH145"/>
      <c r="FI145"/>
      <c r="FJ145"/>
      <c r="FK145"/>
      <c r="FL145"/>
      <c r="FM145"/>
      <c r="FN145"/>
      <c r="FO145"/>
      <c r="FP145"/>
      <c r="FQ145"/>
      <c r="FR145"/>
      <c r="FS145"/>
      <c r="FT145"/>
      <c r="FU145"/>
      <c r="FV145"/>
      <c r="FW145"/>
      <c r="FX145"/>
      <c r="FY145"/>
      <c r="FZ145"/>
      <c r="GA145"/>
      <c r="GB145"/>
      <c r="GC145"/>
      <c r="GD145"/>
      <c r="GE145"/>
      <c r="GF145"/>
      <c r="GG145"/>
      <c r="GH145"/>
      <c r="GI145"/>
      <c r="GJ145"/>
      <c r="GK145"/>
    </row>
    <row r="146" spans="1:193" ht="18" hidden="1" customHeight="1" x14ac:dyDescent="0.25">
      <c r="A146" s="8" t="s">
        <v>148</v>
      </c>
      <c r="B146" s="8">
        <v>865</v>
      </c>
      <c r="C146" s="8">
        <v>14</v>
      </c>
      <c r="D146" s="8">
        <v>734</v>
      </c>
      <c r="E146" s="8">
        <v>117</v>
      </c>
      <c r="F146" s="8">
        <v>219544</v>
      </c>
      <c r="G146" s="8" t="s">
        <v>197</v>
      </c>
      <c r="H146" s="1">
        <v>43927</v>
      </c>
      <c r="I146" s="14">
        <f t="shared" si="6"/>
        <v>1.6184971098265895E-2</v>
      </c>
      <c r="J146" s="14">
        <f t="shared" si="7"/>
        <v>0.84855491329479771</v>
      </c>
      <c r="K146" s="17">
        <f t="shared" si="8"/>
        <v>3.9399846955507781E-3</v>
      </c>
      <c r="L146" s="8" t="str" cm="1">
        <f t="array" ref="L146">_xlfn.IFS(I146&gt;5%,"High Risk",AND(I146&gt;2%,I146&lt;5%),"Modrate Risk",I146&lt;2%, "Low Risk")</f>
        <v>Low Risk</v>
      </c>
      <c r="N146"/>
      <c r="O146"/>
      <c r="P146"/>
      <c r="Q146"/>
      <c r="R146"/>
      <c r="S146"/>
      <c r="T146"/>
      <c r="U146"/>
      <c r="V146"/>
      <c r="W146"/>
      <c r="X146"/>
      <c r="Y146"/>
      <c r="Z146"/>
      <c r="AA146"/>
      <c r="AB146"/>
      <c r="AC146"/>
      <c r="AD146"/>
      <c r="AE146"/>
      <c r="AF146"/>
      <c r="AG146"/>
      <c r="AH146"/>
      <c r="AI146"/>
      <c r="AJ146"/>
      <c r="AK146"/>
      <c r="AL146"/>
      <c r="AM146"/>
      <c r="AN146"/>
      <c r="AO146"/>
      <c r="AP146"/>
      <c r="AQ146"/>
      <c r="AR146"/>
      <c r="AS146"/>
      <c r="AT146"/>
      <c r="AU146"/>
      <c r="AV146"/>
      <c r="AW146"/>
      <c r="AX146"/>
      <c r="AY146"/>
      <c r="AZ146"/>
      <c r="BA146"/>
      <c r="BB146"/>
      <c r="BC146"/>
      <c r="BD146"/>
      <c r="BE146"/>
      <c r="BF146"/>
      <c r="BG146"/>
      <c r="BH146"/>
      <c r="BI146"/>
      <c r="BJ146"/>
      <c r="BK146"/>
      <c r="BL146"/>
      <c r="BM146"/>
      <c r="BN146"/>
      <c r="BO146"/>
      <c r="BP146"/>
      <c r="BQ146"/>
      <c r="BR146"/>
      <c r="BS146"/>
      <c r="BT146"/>
      <c r="BU146"/>
      <c r="BV146"/>
      <c r="BW146"/>
      <c r="BX146"/>
      <c r="BY146"/>
      <c r="BZ146"/>
      <c r="CA146"/>
      <c r="CB146"/>
      <c r="CC146"/>
      <c r="CD146"/>
      <c r="CE146"/>
      <c r="CF146"/>
      <c r="CG146"/>
      <c r="CH146"/>
      <c r="CI146"/>
      <c r="CJ146"/>
      <c r="CK146"/>
      <c r="CL146"/>
      <c r="CM146"/>
      <c r="CN146"/>
      <c r="CO146"/>
      <c r="CP146"/>
      <c r="CQ146"/>
      <c r="CR146"/>
      <c r="CS146"/>
      <c r="CT146"/>
      <c r="CU146"/>
      <c r="CV146"/>
      <c r="CW146"/>
      <c r="CX146"/>
      <c r="CY146"/>
      <c r="CZ146"/>
      <c r="DA146"/>
      <c r="DB146"/>
      <c r="DC146"/>
      <c r="DD146"/>
      <c r="DE146"/>
      <c r="DF146"/>
      <c r="DG146"/>
      <c r="DH146"/>
      <c r="DI146"/>
      <c r="DJ146"/>
      <c r="DK146"/>
      <c r="DL146"/>
      <c r="DM146"/>
      <c r="DN146"/>
      <c r="DO146"/>
      <c r="DP146"/>
      <c r="DQ146"/>
      <c r="DR146"/>
      <c r="DS146"/>
      <c r="DT146"/>
      <c r="DU146"/>
      <c r="DV146"/>
      <c r="DW146"/>
      <c r="DX146"/>
      <c r="DY146"/>
      <c r="DZ146"/>
      <c r="EA146"/>
      <c r="EB146"/>
      <c r="EC146"/>
      <c r="ED146"/>
      <c r="EE146"/>
      <c r="EF146"/>
      <c r="EG146"/>
      <c r="EH146"/>
      <c r="EI146"/>
      <c r="EJ146"/>
      <c r="EK146"/>
      <c r="EL146"/>
      <c r="EM146"/>
      <c r="EN146"/>
      <c r="EO146"/>
      <c r="EP146"/>
      <c r="EQ146"/>
      <c r="ER146"/>
      <c r="ES146"/>
      <c r="ET146"/>
      <c r="EU146"/>
      <c r="EV146"/>
      <c r="EW146"/>
      <c r="EX146"/>
      <c r="EY146"/>
      <c r="EZ146"/>
      <c r="FA146"/>
      <c r="FB146"/>
      <c r="FC146"/>
      <c r="FD146"/>
      <c r="FE146"/>
      <c r="FF146"/>
      <c r="FG146"/>
      <c r="FH146"/>
      <c r="FI146"/>
      <c r="FJ146"/>
      <c r="FK146"/>
      <c r="FL146"/>
      <c r="FM146"/>
      <c r="FN146"/>
      <c r="FO146"/>
      <c r="FP146"/>
      <c r="FQ146"/>
      <c r="FR146"/>
      <c r="FS146"/>
      <c r="FT146"/>
      <c r="FU146"/>
      <c r="FV146"/>
      <c r="FW146"/>
      <c r="FX146"/>
      <c r="FY146"/>
      <c r="FZ146"/>
      <c r="GA146"/>
      <c r="GB146"/>
      <c r="GC146"/>
      <c r="GD146"/>
      <c r="GE146"/>
      <c r="GF146"/>
      <c r="GG146"/>
      <c r="GH146"/>
      <c r="GI146"/>
      <c r="GJ146"/>
      <c r="GK146"/>
    </row>
    <row r="147" spans="1:193" ht="18" hidden="1" customHeight="1" x14ac:dyDescent="0.25">
      <c r="A147" s="9" t="s">
        <v>149</v>
      </c>
      <c r="B147" s="9">
        <v>268934</v>
      </c>
      <c r="C147" s="9">
        <v>2760</v>
      </c>
      <c r="D147" s="9">
        <v>222936</v>
      </c>
      <c r="E147" s="9">
        <v>43238</v>
      </c>
      <c r="F147" s="9">
        <v>34865919</v>
      </c>
      <c r="G147" s="9" t="s">
        <v>195</v>
      </c>
      <c r="H147" s="10">
        <v>43892</v>
      </c>
      <c r="I147" s="15">
        <f t="shared" si="6"/>
        <v>1.0262741044271086E-2</v>
      </c>
      <c r="J147" s="15">
        <f t="shared" si="7"/>
        <v>0.8289617526976879</v>
      </c>
      <c r="K147" s="18">
        <f t="shared" si="8"/>
        <v>7.7133776396371484E-3</v>
      </c>
      <c r="L147" s="9" t="str" cm="1">
        <f t="array" ref="L147">_xlfn.IFS(I147&gt;5%,"High Risk",AND(I147&gt;2%,I147&lt;5%),"Modrate Risk",I147&lt;2%, "Low Risk")</f>
        <v>Low Risk</v>
      </c>
      <c r="N147"/>
      <c r="O147"/>
      <c r="P147"/>
      <c r="Q147"/>
      <c r="R147"/>
      <c r="S147"/>
      <c r="T147"/>
      <c r="U147"/>
      <c r="V147"/>
      <c r="W147"/>
      <c r="X147"/>
      <c r="Y147"/>
      <c r="Z147"/>
      <c r="AA147"/>
      <c r="AB147"/>
      <c r="AC147"/>
      <c r="AD147"/>
      <c r="AE147"/>
      <c r="AF147"/>
      <c r="AG147"/>
      <c r="AH147"/>
      <c r="AI147"/>
      <c r="AJ147"/>
      <c r="AK147"/>
      <c r="AL147"/>
      <c r="AM147"/>
      <c r="AN147"/>
      <c r="AO147"/>
      <c r="AP147"/>
      <c r="AQ147"/>
      <c r="AR147"/>
      <c r="AS147"/>
      <c r="AT147"/>
      <c r="AU147"/>
      <c r="AV147"/>
      <c r="AW147"/>
      <c r="AX147"/>
      <c r="AY147"/>
      <c r="AZ147"/>
      <c r="BA147"/>
      <c r="BB147"/>
      <c r="BC147"/>
      <c r="BD147"/>
      <c r="BE147"/>
      <c r="BF147"/>
      <c r="BG147"/>
      <c r="BH147"/>
      <c r="BI147"/>
      <c r="BJ147"/>
      <c r="BK147"/>
      <c r="BL147"/>
      <c r="BM147"/>
      <c r="BN147"/>
      <c r="BO147"/>
      <c r="BP147"/>
      <c r="BQ147"/>
      <c r="BR147"/>
      <c r="BS147"/>
      <c r="BT147"/>
      <c r="BU147"/>
      <c r="BV147"/>
      <c r="BW147"/>
      <c r="BX147"/>
      <c r="BY147"/>
      <c r="BZ147"/>
      <c r="CA147"/>
      <c r="CB147"/>
      <c r="CC147"/>
      <c r="CD147"/>
      <c r="CE147"/>
      <c r="CF147"/>
      <c r="CG147"/>
      <c r="CH147"/>
      <c r="CI147"/>
      <c r="CJ147"/>
      <c r="CK147"/>
      <c r="CL147"/>
      <c r="CM147"/>
      <c r="CN147"/>
      <c r="CO147"/>
      <c r="CP147"/>
      <c r="CQ147"/>
      <c r="CR147"/>
      <c r="CS147"/>
      <c r="CT147"/>
      <c r="CU147"/>
      <c r="CV147"/>
      <c r="CW147"/>
      <c r="CX147"/>
      <c r="CY147"/>
      <c r="CZ147"/>
      <c r="DA147"/>
      <c r="DB147"/>
      <c r="DC147"/>
      <c r="DD147"/>
      <c r="DE147"/>
      <c r="DF147"/>
      <c r="DG147"/>
      <c r="DH147"/>
      <c r="DI147"/>
      <c r="DJ147"/>
      <c r="DK147"/>
      <c r="DL147"/>
      <c r="DM147"/>
      <c r="DN147"/>
      <c r="DO147"/>
      <c r="DP147"/>
      <c r="DQ147"/>
      <c r="DR147"/>
      <c r="DS147"/>
      <c r="DT147"/>
      <c r="DU147"/>
      <c r="DV147"/>
      <c r="DW147"/>
      <c r="DX147"/>
      <c r="DY147"/>
      <c r="DZ147"/>
      <c r="EA147"/>
      <c r="EB147"/>
      <c r="EC147"/>
      <c r="ED147"/>
      <c r="EE147"/>
      <c r="EF147"/>
      <c r="EG147"/>
      <c r="EH147"/>
      <c r="EI147"/>
      <c r="EJ147"/>
      <c r="EK147"/>
      <c r="EL147"/>
      <c r="EM147"/>
      <c r="EN147"/>
      <c r="EO147"/>
      <c r="EP147"/>
      <c r="EQ147"/>
      <c r="ER147"/>
      <c r="ES147"/>
      <c r="ET147"/>
      <c r="EU147"/>
      <c r="EV147"/>
      <c r="EW147"/>
      <c r="EX147"/>
      <c r="EY147"/>
      <c r="EZ147"/>
      <c r="FA147"/>
      <c r="FB147"/>
      <c r="FC147"/>
      <c r="FD147"/>
      <c r="FE147"/>
      <c r="FF147"/>
      <c r="FG147"/>
      <c r="FH147"/>
      <c r="FI147"/>
      <c r="FJ147"/>
      <c r="FK147"/>
      <c r="FL147"/>
      <c r="FM147"/>
      <c r="FN147"/>
      <c r="FO147"/>
      <c r="FP147"/>
      <c r="FQ147"/>
      <c r="FR147"/>
      <c r="FS147"/>
      <c r="FT147"/>
      <c r="FU147"/>
      <c r="FV147"/>
      <c r="FW147"/>
      <c r="FX147"/>
      <c r="FY147"/>
      <c r="FZ147"/>
      <c r="GA147"/>
      <c r="GB147"/>
      <c r="GC147"/>
      <c r="GD147"/>
      <c r="GE147"/>
      <c r="GF147"/>
      <c r="GG147"/>
      <c r="GH147"/>
      <c r="GI147"/>
      <c r="GJ147"/>
      <c r="GK147"/>
    </row>
    <row r="148" spans="1:193" ht="18" hidden="1" customHeight="1" x14ac:dyDescent="0.25">
      <c r="A148" s="8" t="s">
        <v>150</v>
      </c>
      <c r="B148" s="8">
        <v>9764</v>
      </c>
      <c r="C148" s="8">
        <v>194</v>
      </c>
      <c r="D148" s="8">
        <v>6477</v>
      </c>
      <c r="E148" s="8">
        <v>3093</v>
      </c>
      <c r="F148" s="8">
        <v>16783877</v>
      </c>
      <c r="G148" s="8" t="s">
        <v>197</v>
      </c>
      <c r="H148" s="1">
        <v>43892</v>
      </c>
      <c r="I148" s="14">
        <f t="shared" si="6"/>
        <v>1.9868906185989348E-2</v>
      </c>
      <c r="J148" s="14">
        <f t="shared" si="7"/>
        <v>0.66335518230233514</v>
      </c>
      <c r="K148" s="17">
        <f t="shared" si="8"/>
        <v>5.8174878188156404E-4</v>
      </c>
      <c r="L148" s="8" t="str" cm="1">
        <f t="array" ref="L148">_xlfn.IFS(I148&gt;5%,"High Risk",AND(I148&gt;2%,I148&lt;5%),"Modrate Risk",I148&lt;2%, "Low Risk")</f>
        <v>Low Risk</v>
      </c>
      <c r="N148"/>
      <c r="O148"/>
      <c r="P148"/>
      <c r="Q148"/>
      <c r="R148"/>
      <c r="S148"/>
      <c r="T148"/>
      <c r="U148"/>
      <c r="V148"/>
      <c r="W148"/>
      <c r="X148"/>
      <c r="Y148"/>
      <c r="Z148"/>
      <c r="AA148"/>
      <c r="AB148"/>
      <c r="AC148"/>
      <c r="AD148"/>
      <c r="AE148"/>
      <c r="AF148"/>
      <c r="AG148"/>
      <c r="AH148"/>
      <c r="AI148"/>
      <c r="AJ148"/>
      <c r="AK148"/>
      <c r="AL148"/>
      <c r="AM148"/>
      <c r="AN148"/>
      <c r="AO148"/>
      <c r="AP148"/>
      <c r="AQ148"/>
      <c r="AR148"/>
      <c r="AS148"/>
      <c r="AT148"/>
      <c r="AU148"/>
      <c r="AV148"/>
      <c r="AW148"/>
      <c r="AX148"/>
      <c r="AY148"/>
      <c r="AZ148"/>
      <c r="BA148"/>
      <c r="BB148"/>
      <c r="BC148"/>
      <c r="BD148"/>
      <c r="BE148"/>
      <c r="BF148"/>
      <c r="BG148"/>
      <c r="BH148"/>
      <c r="BI148"/>
      <c r="BJ148"/>
      <c r="BK148"/>
      <c r="BL148"/>
      <c r="BM148"/>
      <c r="BN148"/>
      <c r="BO148"/>
      <c r="BP148"/>
      <c r="BQ148"/>
      <c r="BR148"/>
      <c r="BS148"/>
      <c r="BT148"/>
      <c r="BU148"/>
      <c r="BV148"/>
      <c r="BW148"/>
      <c r="BX148"/>
      <c r="BY148"/>
      <c r="BZ148"/>
      <c r="CA148"/>
      <c r="CB148"/>
      <c r="CC148"/>
      <c r="CD148"/>
      <c r="CE148"/>
      <c r="CF148"/>
      <c r="CG148"/>
      <c r="CH148"/>
      <c r="CI148"/>
      <c r="CJ148"/>
      <c r="CK148"/>
      <c r="CL148"/>
      <c r="CM148"/>
      <c r="CN148"/>
      <c r="CO148"/>
      <c r="CP148"/>
      <c r="CQ148"/>
      <c r="CR148"/>
      <c r="CS148"/>
      <c r="CT148"/>
      <c r="CU148"/>
      <c r="CV148"/>
      <c r="CW148"/>
      <c r="CX148"/>
      <c r="CY148"/>
      <c r="CZ148"/>
      <c r="DA148"/>
      <c r="DB148"/>
      <c r="DC148"/>
      <c r="DD148"/>
      <c r="DE148"/>
      <c r="DF148"/>
      <c r="DG148"/>
      <c r="DH148"/>
      <c r="DI148"/>
      <c r="DJ148"/>
      <c r="DK148"/>
      <c r="DL148"/>
      <c r="DM148"/>
      <c r="DN148"/>
      <c r="DO148"/>
      <c r="DP148"/>
      <c r="DQ148"/>
      <c r="DR148"/>
      <c r="DS148"/>
      <c r="DT148"/>
      <c r="DU148"/>
      <c r="DV148"/>
      <c r="DW148"/>
      <c r="DX148"/>
      <c r="DY148"/>
      <c r="DZ148"/>
      <c r="EA148"/>
      <c r="EB148"/>
      <c r="EC148"/>
      <c r="ED148"/>
      <c r="EE148"/>
      <c r="EF148"/>
      <c r="EG148"/>
      <c r="EH148"/>
      <c r="EI148"/>
      <c r="EJ148"/>
      <c r="EK148"/>
      <c r="EL148"/>
      <c r="EM148"/>
      <c r="EN148"/>
      <c r="EO148"/>
      <c r="EP148"/>
      <c r="EQ148"/>
      <c r="ER148"/>
      <c r="ES148"/>
      <c r="ET148"/>
      <c r="EU148"/>
      <c r="EV148"/>
      <c r="EW148"/>
      <c r="EX148"/>
      <c r="EY148"/>
      <c r="EZ148"/>
      <c r="FA148"/>
      <c r="FB148"/>
      <c r="FC148"/>
      <c r="FD148"/>
      <c r="FE148"/>
      <c r="FF148"/>
      <c r="FG148"/>
      <c r="FH148"/>
      <c r="FI148"/>
      <c r="FJ148"/>
      <c r="FK148"/>
      <c r="FL148"/>
      <c r="FM148"/>
      <c r="FN148"/>
      <c r="FO148"/>
      <c r="FP148"/>
      <c r="FQ148"/>
      <c r="FR148"/>
      <c r="FS148"/>
      <c r="FT148"/>
      <c r="FU148"/>
      <c r="FV148"/>
      <c r="FW148"/>
      <c r="FX148"/>
      <c r="FY148"/>
      <c r="FZ148"/>
      <c r="GA148"/>
      <c r="GB148"/>
      <c r="GC148"/>
      <c r="GD148"/>
      <c r="GE148"/>
      <c r="GF148"/>
      <c r="GG148"/>
      <c r="GH148"/>
      <c r="GI148"/>
      <c r="GJ148"/>
      <c r="GK148"/>
    </row>
    <row r="149" spans="1:193" ht="18" hidden="1" customHeight="1" x14ac:dyDescent="0.25">
      <c r="A149" s="9" t="s">
        <v>151</v>
      </c>
      <c r="B149" s="9">
        <v>24141</v>
      </c>
      <c r="C149" s="9">
        <v>543</v>
      </c>
      <c r="D149" s="9">
        <v>0</v>
      </c>
      <c r="E149" s="9">
        <v>23598</v>
      </c>
      <c r="F149" s="9">
        <v>8733665</v>
      </c>
      <c r="G149" s="9" t="s">
        <v>196</v>
      </c>
      <c r="H149" s="10">
        <v>43896</v>
      </c>
      <c r="I149" s="15">
        <f t="shared" si="6"/>
        <v>2.2492854479930408E-2</v>
      </c>
      <c r="J149" s="15">
        <f t="shared" si="7"/>
        <v>0</v>
      </c>
      <c r="K149" s="18">
        <f t="shared" si="8"/>
        <v>2.7641316675187334E-3</v>
      </c>
      <c r="L149" s="9" t="str" cm="1">
        <f t="array" ref="L149">_xlfn.IFS(I149&gt;5%,"High Risk",AND(I149&gt;2%,I149&lt;5%),"Modrate Risk",I149&lt;2%, "Low Risk")</f>
        <v>Modrate Risk</v>
      </c>
      <c r="N149"/>
      <c r="O149"/>
      <c r="P149"/>
      <c r="Q149"/>
      <c r="R149"/>
      <c r="S149"/>
      <c r="T149"/>
      <c r="U149"/>
      <c r="V149"/>
      <c r="W149"/>
      <c r="X149"/>
      <c r="Y149"/>
      <c r="Z149"/>
      <c r="AA149"/>
      <c r="AB149"/>
      <c r="AC149"/>
      <c r="AD149"/>
      <c r="AE149"/>
      <c r="AF149"/>
      <c r="AG149"/>
      <c r="AH149"/>
      <c r="AI149"/>
      <c r="AJ149"/>
      <c r="AK149"/>
      <c r="AL149"/>
      <c r="AM149"/>
      <c r="AN149"/>
      <c r="AO149"/>
      <c r="AP149"/>
      <c r="AQ149"/>
      <c r="AR149"/>
      <c r="AS149"/>
      <c r="AT149"/>
      <c r="AU149"/>
      <c r="AV149"/>
      <c r="AW149"/>
      <c r="AX149"/>
      <c r="AY149"/>
      <c r="AZ149"/>
      <c r="BA149"/>
      <c r="BB149"/>
      <c r="BC149"/>
      <c r="BD149"/>
      <c r="BE149"/>
      <c r="BF149"/>
      <c r="BG149"/>
      <c r="BH149"/>
      <c r="BI149"/>
      <c r="BJ149"/>
      <c r="BK149"/>
      <c r="BL149"/>
      <c r="BM149"/>
      <c r="BN149"/>
      <c r="BO149"/>
      <c r="BP149"/>
      <c r="BQ149"/>
      <c r="BR149"/>
      <c r="BS149"/>
      <c r="BT149"/>
      <c r="BU149"/>
      <c r="BV149"/>
      <c r="BW149"/>
      <c r="BX149"/>
      <c r="BY149"/>
      <c r="BZ149"/>
      <c r="CA149"/>
      <c r="CB149"/>
      <c r="CC149"/>
      <c r="CD149"/>
      <c r="CE149"/>
      <c r="CF149"/>
      <c r="CG149"/>
      <c r="CH149"/>
      <c r="CI149"/>
      <c r="CJ149"/>
      <c r="CK149"/>
      <c r="CL149"/>
      <c r="CM149"/>
      <c r="CN149"/>
      <c r="CO149"/>
      <c r="CP149"/>
      <c r="CQ149"/>
      <c r="CR149"/>
      <c r="CS149"/>
      <c r="CT149"/>
      <c r="CU149"/>
      <c r="CV149"/>
      <c r="CW149"/>
      <c r="CX149"/>
      <c r="CY149"/>
      <c r="CZ149"/>
      <c r="DA149"/>
      <c r="DB149"/>
      <c r="DC149"/>
      <c r="DD149"/>
      <c r="DE149"/>
      <c r="DF149"/>
      <c r="DG149"/>
      <c r="DH149"/>
      <c r="DI149"/>
      <c r="DJ149"/>
      <c r="DK149"/>
      <c r="DL149"/>
      <c r="DM149"/>
      <c r="DN149"/>
      <c r="DO149"/>
      <c r="DP149"/>
      <c r="DQ149"/>
      <c r="DR149"/>
      <c r="DS149"/>
      <c r="DT149"/>
      <c r="DU149"/>
      <c r="DV149"/>
      <c r="DW149"/>
      <c r="DX149"/>
      <c r="DY149"/>
      <c r="DZ149"/>
      <c r="EA149"/>
      <c r="EB149"/>
      <c r="EC149"/>
      <c r="ED149"/>
      <c r="EE149"/>
      <c r="EF149"/>
      <c r="EG149"/>
      <c r="EH149"/>
      <c r="EI149"/>
      <c r="EJ149"/>
      <c r="EK149"/>
      <c r="EL149"/>
      <c r="EM149"/>
      <c r="EN149"/>
      <c r="EO149"/>
      <c r="EP149"/>
      <c r="EQ149"/>
      <c r="ER149"/>
      <c r="ES149"/>
      <c r="ET149"/>
      <c r="EU149"/>
      <c r="EV149"/>
      <c r="EW149"/>
      <c r="EX149"/>
      <c r="EY149"/>
      <c r="EZ149"/>
      <c r="FA149"/>
      <c r="FB149"/>
      <c r="FC149"/>
      <c r="FD149"/>
      <c r="FE149"/>
      <c r="FF149"/>
      <c r="FG149"/>
      <c r="FH149"/>
      <c r="FI149"/>
      <c r="FJ149"/>
      <c r="FK149"/>
      <c r="FL149"/>
      <c r="FM149"/>
      <c r="FN149"/>
      <c r="FO149"/>
      <c r="FP149"/>
      <c r="FQ149"/>
      <c r="FR149"/>
      <c r="FS149"/>
      <c r="FT149"/>
      <c r="FU149"/>
      <c r="FV149"/>
      <c r="FW149"/>
      <c r="FX149"/>
      <c r="FY149"/>
      <c r="FZ149"/>
      <c r="GA149"/>
      <c r="GB149"/>
      <c r="GC149"/>
      <c r="GD149"/>
      <c r="GE149"/>
      <c r="GF149"/>
      <c r="GG149"/>
      <c r="GH149"/>
      <c r="GI149"/>
      <c r="GJ149"/>
      <c r="GK149"/>
    </row>
    <row r="150" spans="1:193" ht="18" hidden="1" customHeight="1" x14ac:dyDescent="0.25">
      <c r="A150" s="8" t="s">
        <v>152</v>
      </c>
      <c r="B150" s="8">
        <v>114</v>
      </c>
      <c r="C150" s="8">
        <v>0</v>
      </c>
      <c r="D150" s="8">
        <v>39</v>
      </c>
      <c r="E150" s="8">
        <v>75</v>
      </c>
      <c r="F150" s="8">
        <v>98408</v>
      </c>
      <c r="G150" s="8" t="s">
        <v>197</v>
      </c>
      <c r="H150" s="1">
        <v>43904</v>
      </c>
      <c r="I150" s="14">
        <f t="shared" si="6"/>
        <v>0</v>
      </c>
      <c r="J150" s="14">
        <f t="shared" si="7"/>
        <v>0.34210526315789475</v>
      </c>
      <c r="K150" s="17">
        <f t="shared" si="8"/>
        <v>1.158442403056662E-3</v>
      </c>
      <c r="L150" s="8" t="str" cm="1">
        <f t="array" ref="L150">_xlfn.IFS(I150&gt;5%,"High Risk",AND(I150&gt;2%,I150&lt;5%),"Modrate Risk",I150&lt;2%, "Low Risk")</f>
        <v>Low Risk</v>
      </c>
      <c r="N150"/>
      <c r="O150"/>
      <c r="P150"/>
      <c r="Q150"/>
      <c r="R150"/>
      <c r="S150"/>
      <c r="T150"/>
      <c r="U150"/>
      <c r="V150"/>
      <c r="W150"/>
      <c r="X150"/>
      <c r="Y150"/>
      <c r="Z150"/>
      <c r="AA150"/>
      <c r="AB150"/>
      <c r="AC150"/>
      <c r="AD150"/>
      <c r="AE150"/>
      <c r="AF150"/>
      <c r="AG150"/>
      <c r="AH150"/>
      <c r="AI150"/>
      <c r="AJ150"/>
      <c r="AK150"/>
      <c r="AL150"/>
      <c r="AM150"/>
      <c r="AN150"/>
      <c r="AO150"/>
      <c r="AP150"/>
      <c r="AQ150"/>
      <c r="AR150"/>
      <c r="AS150"/>
      <c r="AT150"/>
      <c r="AU150"/>
      <c r="AV150"/>
      <c r="AW150"/>
      <c r="AX150"/>
      <c r="AY150"/>
      <c r="AZ150"/>
      <c r="BA150"/>
      <c r="BB150"/>
      <c r="BC150"/>
      <c r="BD150"/>
      <c r="BE150"/>
      <c r="BF150"/>
      <c r="BG150"/>
      <c r="BH150"/>
      <c r="BI150"/>
      <c r="BJ150"/>
      <c r="BK150"/>
      <c r="BL150"/>
      <c r="BM150"/>
      <c r="BN150"/>
      <c r="BO150"/>
      <c r="BP150"/>
      <c r="BQ150"/>
      <c r="BR150"/>
      <c r="BS150"/>
      <c r="BT150"/>
      <c r="BU150"/>
      <c r="BV150"/>
      <c r="BW150"/>
      <c r="BX150"/>
      <c r="BY150"/>
      <c r="BZ150"/>
      <c r="CA150"/>
      <c r="CB150"/>
      <c r="CC150"/>
      <c r="CD150"/>
      <c r="CE150"/>
      <c r="CF150"/>
      <c r="CG150"/>
      <c r="CH150"/>
      <c r="CI150"/>
      <c r="CJ150"/>
      <c r="CK150"/>
      <c r="CL150"/>
      <c r="CM150"/>
      <c r="CN150"/>
      <c r="CO150"/>
      <c r="CP150"/>
      <c r="CQ150"/>
      <c r="CR150"/>
      <c r="CS150"/>
      <c r="CT150"/>
      <c r="CU150"/>
      <c r="CV150"/>
      <c r="CW150"/>
      <c r="CX150"/>
      <c r="CY150"/>
      <c r="CZ150"/>
      <c r="DA150"/>
      <c r="DB150"/>
      <c r="DC150"/>
      <c r="DD150"/>
      <c r="DE150"/>
      <c r="DF150"/>
      <c r="DG150"/>
      <c r="DH150"/>
      <c r="DI150"/>
      <c r="DJ150"/>
      <c r="DK150"/>
      <c r="DL150"/>
      <c r="DM150"/>
      <c r="DN150"/>
      <c r="DO150"/>
      <c r="DP150"/>
      <c r="DQ150"/>
      <c r="DR150"/>
      <c r="DS150"/>
      <c r="DT150"/>
      <c r="DU150"/>
      <c r="DV150"/>
      <c r="DW150"/>
      <c r="DX150"/>
      <c r="DY150"/>
      <c r="DZ150"/>
      <c r="EA150"/>
      <c r="EB150"/>
      <c r="EC150"/>
      <c r="ED150"/>
      <c r="EE150"/>
      <c r="EF150"/>
      <c r="EG150"/>
      <c r="EH150"/>
      <c r="EI150"/>
      <c r="EJ150"/>
      <c r="EK150"/>
      <c r="EL150"/>
      <c r="EM150"/>
      <c r="EN150"/>
      <c r="EO150"/>
      <c r="EP150"/>
      <c r="EQ150"/>
      <c r="ER150"/>
      <c r="ES150"/>
      <c r="ET150"/>
      <c r="EU150"/>
      <c r="EV150"/>
      <c r="EW150"/>
      <c r="EX150"/>
      <c r="EY150"/>
      <c r="EZ150"/>
      <c r="FA150"/>
      <c r="FB150"/>
      <c r="FC150"/>
      <c r="FD150"/>
      <c r="FE150"/>
      <c r="FF150"/>
      <c r="FG150"/>
      <c r="FH150"/>
      <c r="FI150"/>
      <c r="FJ150"/>
      <c r="FK150"/>
      <c r="FL150"/>
      <c r="FM150"/>
      <c r="FN150"/>
      <c r="FO150"/>
      <c r="FP150"/>
      <c r="FQ150"/>
      <c r="FR150"/>
      <c r="FS150"/>
      <c r="FT150"/>
      <c r="FU150"/>
      <c r="FV150"/>
      <c r="FW150"/>
      <c r="FX150"/>
      <c r="FY150"/>
      <c r="FZ150"/>
      <c r="GA150"/>
      <c r="GB150"/>
      <c r="GC150"/>
      <c r="GD150"/>
      <c r="GE150"/>
      <c r="GF150"/>
      <c r="GG150"/>
      <c r="GH150"/>
      <c r="GI150"/>
      <c r="GJ150"/>
      <c r="GK150"/>
    </row>
    <row r="151" spans="1:193" ht="18" hidden="1" customHeight="1" x14ac:dyDescent="0.25">
      <c r="A151" s="9" t="s">
        <v>153</v>
      </c>
      <c r="B151" s="9">
        <v>1783</v>
      </c>
      <c r="C151" s="9">
        <v>66</v>
      </c>
      <c r="D151" s="9">
        <v>1317</v>
      </c>
      <c r="E151" s="9">
        <v>400</v>
      </c>
      <c r="F151" s="9">
        <v>7992169</v>
      </c>
      <c r="G151" s="9" t="s">
        <v>197</v>
      </c>
      <c r="H151" s="10">
        <v>43921</v>
      </c>
      <c r="I151" s="15">
        <f t="shared" si="6"/>
        <v>3.7016264722378012E-2</v>
      </c>
      <c r="J151" s="15">
        <f t="shared" si="7"/>
        <v>0.73864273696017946</v>
      </c>
      <c r="K151" s="18">
        <f t="shared" si="8"/>
        <v>2.230933805328691E-4</v>
      </c>
      <c r="L151" s="9" t="str" cm="1">
        <f t="array" ref="L151">_xlfn.IFS(I151&gt;5%,"High Risk",AND(I151&gt;2%,I151&lt;5%),"Modrate Risk",I151&lt;2%, "Low Risk")</f>
        <v>Modrate Risk</v>
      </c>
      <c r="N151"/>
      <c r="O151"/>
      <c r="P151"/>
      <c r="Q151"/>
      <c r="R151"/>
      <c r="S151"/>
      <c r="T151"/>
      <c r="U151"/>
      <c r="V151"/>
      <c r="W151"/>
      <c r="X151"/>
      <c r="Y151"/>
      <c r="Z151"/>
      <c r="AA151"/>
      <c r="AB151"/>
      <c r="AC151"/>
      <c r="AD151"/>
      <c r="AE151"/>
      <c r="AF151"/>
      <c r="AG151"/>
      <c r="AH151"/>
      <c r="AI151"/>
      <c r="AJ151"/>
      <c r="AK151"/>
      <c r="AL151"/>
      <c r="AM151"/>
      <c r="AN151"/>
      <c r="AO151"/>
      <c r="AP151"/>
      <c r="AQ151"/>
      <c r="AR151"/>
      <c r="AS151"/>
      <c r="AT151"/>
      <c r="AU151"/>
      <c r="AV151"/>
      <c r="AW151"/>
      <c r="AX151"/>
      <c r="AY151"/>
      <c r="AZ151"/>
      <c r="BA151"/>
      <c r="BB151"/>
      <c r="BC151"/>
      <c r="BD151"/>
      <c r="BE151"/>
      <c r="BF151"/>
      <c r="BG151"/>
      <c r="BH151"/>
      <c r="BI151"/>
      <c r="BJ151"/>
      <c r="BK151"/>
      <c r="BL151"/>
      <c r="BM151"/>
      <c r="BN151"/>
      <c r="BO151"/>
      <c r="BP151"/>
      <c r="BQ151"/>
      <c r="BR151"/>
      <c r="BS151"/>
      <c r="BT151"/>
      <c r="BU151"/>
      <c r="BV151"/>
      <c r="BW151"/>
      <c r="BX151"/>
      <c r="BY151"/>
      <c r="BZ151"/>
      <c r="CA151"/>
      <c r="CB151"/>
      <c r="CC151"/>
      <c r="CD151"/>
      <c r="CE151"/>
      <c r="CF151"/>
      <c r="CG151"/>
      <c r="CH151"/>
      <c r="CI151"/>
      <c r="CJ151"/>
      <c r="CK151"/>
      <c r="CL151"/>
      <c r="CM151"/>
      <c r="CN151"/>
      <c r="CO151"/>
      <c r="CP151"/>
      <c r="CQ151"/>
      <c r="CR151"/>
      <c r="CS151"/>
      <c r="CT151"/>
      <c r="CU151"/>
      <c r="CV151"/>
      <c r="CW151"/>
      <c r="CX151"/>
      <c r="CY151"/>
      <c r="CZ151"/>
      <c r="DA151"/>
      <c r="DB151"/>
      <c r="DC151"/>
      <c r="DD151"/>
      <c r="DE151"/>
      <c r="DF151"/>
      <c r="DG151"/>
      <c r="DH151"/>
      <c r="DI151"/>
      <c r="DJ151"/>
      <c r="DK151"/>
      <c r="DL151"/>
      <c r="DM151"/>
      <c r="DN151"/>
      <c r="DO151"/>
      <c r="DP151"/>
      <c r="DQ151"/>
      <c r="DR151"/>
      <c r="DS151"/>
      <c r="DT151"/>
      <c r="DU151"/>
      <c r="DV151"/>
      <c r="DW151"/>
      <c r="DX151"/>
      <c r="DY151"/>
      <c r="DZ151"/>
      <c r="EA151"/>
      <c r="EB151"/>
      <c r="EC151"/>
      <c r="ED151"/>
      <c r="EE151"/>
      <c r="EF151"/>
      <c r="EG151"/>
      <c r="EH151"/>
      <c r="EI151"/>
      <c r="EJ151"/>
      <c r="EK151"/>
      <c r="EL151"/>
      <c r="EM151"/>
      <c r="EN151"/>
      <c r="EO151"/>
      <c r="EP151"/>
      <c r="EQ151"/>
      <c r="ER151"/>
      <c r="ES151"/>
      <c r="ET151"/>
      <c r="EU151"/>
      <c r="EV151"/>
      <c r="EW151"/>
      <c r="EX151"/>
      <c r="EY151"/>
      <c r="EZ151"/>
      <c r="FA151"/>
      <c r="FB151"/>
      <c r="FC151"/>
      <c r="FD151"/>
      <c r="FE151"/>
      <c r="FF151"/>
      <c r="FG151"/>
      <c r="FH151"/>
      <c r="FI151"/>
      <c r="FJ151"/>
      <c r="FK151"/>
      <c r="FL151"/>
      <c r="FM151"/>
      <c r="FN151"/>
      <c r="FO151"/>
      <c r="FP151"/>
      <c r="FQ151"/>
      <c r="FR151"/>
      <c r="FS151"/>
      <c r="FT151"/>
      <c r="FU151"/>
      <c r="FV151"/>
      <c r="FW151"/>
      <c r="FX151"/>
      <c r="FY151"/>
      <c r="FZ151"/>
      <c r="GA151"/>
      <c r="GB151"/>
      <c r="GC151"/>
      <c r="GD151"/>
      <c r="GE151"/>
      <c r="GF151"/>
      <c r="GG151"/>
      <c r="GH151"/>
      <c r="GI151"/>
      <c r="GJ151"/>
      <c r="GK151"/>
    </row>
    <row r="152" spans="1:193" ht="18" hidden="1" customHeight="1" x14ac:dyDescent="0.25">
      <c r="A152" s="8" t="s">
        <v>154</v>
      </c>
      <c r="B152" s="8">
        <v>50838</v>
      </c>
      <c r="C152" s="8">
        <v>27</v>
      </c>
      <c r="D152" s="8">
        <v>45692</v>
      </c>
      <c r="E152" s="8">
        <v>5119</v>
      </c>
      <c r="F152" s="8">
        <v>5854932</v>
      </c>
      <c r="G152" s="8" t="s">
        <v>195</v>
      </c>
      <c r="H152" s="1">
        <v>43853</v>
      </c>
      <c r="I152" s="14">
        <f t="shared" si="6"/>
        <v>5.3109878437389356E-4</v>
      </c>
      <c r="J152" s="14">
        <f t="shared" si="7"/>
        <v>0.89877650576340529</v>
      </c>
      <c r="K152" s="17">
        <f t="shared" si="8"/>
        <v>8.6829360272672688E-3</v>
      </c>
      <c r="L152" s="8" t="str" cm="1">
        <f t="array" ref="L152">_xlfn.IFS(I152&gt;5%,"High Risk",AND(I152&gt;2%,I152&lt;5%),"Modrate Risk",I152&lt;2%, "Low Risk")</f>
        <v>Low Risk</v>
      </c>
      <c r="N152"/>
      <c r="O152"/>
      <c r="P152"/>
      <c r="Q152"/>
      <c r="R152"/>
      <c r="S152"/>
      <c r="T152"/>
      <c r="U152"/>
      <c r="V152"/>
      <c r="W152"/>
      <c r="X152"/>
      <c r="Y152"/>
      <c r="Z152"/>
      <c r="AA152"/>
      <c r="AB152"/>
      <c r="AC152"/>
      <c r="AD152"/>
      <c r="AE152"/>
      <c r="AF152"/>
      <c r="AG152"/>
      <c r="AH152"/>
      <c r="AI152"/>
      <c r="AJ152"/>
      <c r="AK152"/>
      <c r="AL152"/>
      <c r="AM152"/>
      <c r="AN152"/>
      <c r="AO152"/>
      <c r="AP152"/>
      <c r="AQ152"/>
      <c r="AR152"/>
      <c r="AS152"/>
      <c r="AT152"/>
      <c r="AU152"/>
      <c r="AV152"/>
      <c r="AW152"/>
      <c r="AX152"/>
      <c r="AY152"/>
      <c r="AZ152"/>
      <c r="BA152"/>
      <c r="BB152"/>
      <c r="BC152"/>
      <c r="BD152"/>
      <c r="BE152"/>
      <c r="BF152"/>
      <c r="BG152"/>
      <c r="BH152"/>
      <c r="BI152"/>
      <c r="BJ152"/>
      <c r="BK152"/>
      <c r="BL152"/>
      <c r="BM152"/>
      <c r="BN152"/>
      <c r="BO152"/>
      <c r="BP152"/>
      <c r="BQ152"/>
      <c r="BR152"/>
      <c r="BS152"/>
      <c r="BT152"/>
      <c r="BU152"/>
      <c r="BV152"/>
      <c r="BW152"/>
      <c r="BX152"/>
      <c r="BY152"/>
      <c r="BZ152"/>
      <c r="CA152"/>
      <c r="CB152"/>
      <c r="CC152"/>
      <c r="CD152"/>
      <c r="CE152"/>
      <c r="CF152"/>
      <c r="CG152"/>
      <c r="CH152"/>
      <c r="CI152"/>
      <c r="CJ152"/>
      <c r="CK152"/>
      <c r="CL152"/>
      <c r="CM152"/>
      <c r="CN152"/>
      <c r="CO152"/>
      <c r="CP152"/>
      <c r="CQ152"/>
      <c r="CR152"/>
      <c r="CS152"/>
      <c r="CT152"/>
      <c r="CU152"/>
      <c r="CV152"/>
      <c r="CW152"/>
      <c r="CX152"/>
      <c r="CY152"/>
      <c r="CZ152"/>
      <c r="DA152"/>
      <c r="DB152"/>
      <c r="DC152"/>
      <c r="DD152"/>
      <c r="DE152"/>
      <c r="DF152"/>
      <c r="DG152"/>
      <c r="DH152"/>
      <c r="DI152"/>
      <c r="DJ152"/>
      <c r="DK152"/>
      <c r="DL152"/>
      <c r="DM152"/>
      <c r="DN152"/>
      <c r="DO152"/>
      <c r="DP152"/>
      <c r="DQ152"/>
      <c r="DR152"/>
      <c r="DS152"/>
      <c r="DT152"/>
      <c r="DU152"/>
      <c r="DV152"/>
      <c r="DW152"/>
      <c r="DX152"/>
      <c r="DY152"/>
      <c r="DZ152"/>
      <c r="EA152"/>
      <c r="EB152"/>
      <c r="EC152"/>
      <c r="ED152"/>
      <c r="EE152"/>
      <c r="EF152"/>
      <c r="EG152"/>
      <c r="EH152"/>
      <c r="EI152"/>
      <c r="EJ152"/>
      <c r="EK152"/>
      <c r="EL152"/>
      <c r="EM152"/>
      <c r="EN152"/>
      <c r="EO152"/>
      <c r="EP152"/>
      <c r="EQ152"/>
      <c r="ER152"/>
      <c r="ES152"/>
      <c r="ET152"/>
      <c r="EU152"/>
      <c r="EV152"/>
      <c r="EW152"/>
      <c r="EX152"/>
      <c r="EY152"/>
      <c r="EZ152"/>
      <c r="FA152"/>
      <c r="FB152"/>
      <c r="FC152"/>
      <c r="FD152"/>
      <c r="FE152"/>
      <c r="FF152"/>
      <c r="FG152"/>
      <c r="FH152"/>
      <c r="FI152"/>
      <c r="FJ152"/>
      <c r="FK152"/>
      <c r="FL152"/>
      <c r="FM152"/>
      <c r="FN152"/>
      <c r="FO152"/>
      <c r="FP152"/>
      <c r="FQ152"/>
      <c r="FR152"/>
      <c r="FS152"/>
      <c r="FT152"/>
      <c r="FU152"/>
      <c r="FV152"/>
      <c r="FW152"/>
      <c r="FX152"/>
      <c r="FY152"/>
      <c r="FZ152"/>
      <c r="GA152"/>
      <c r="GB152"/>
      <c r="GC152"/>
      <c r="GD152"/>
      <c r="GE152"/>
      <c r="GF152"/>
      <c r="GG152"/>
      <c r="GH152"/>
      <c r="GI152"/>
      <c r="GJ152"/>
      <c r="GK152"/>
    </row>
    <row r="153" spans="1:193" ht="18" hidden="1" customHeight="1" x14ac:dyDescent="0.25">
      <c r="A153" s="9" t="s">
        <v>155</v>
      </c>
      <c r="B153" s="9">
        <v>2181</v>
      </c>
      <c r="C153" s="9">
        <v>28</v>
      </c>
      <c r="D153" s="9">
        <v>1616</v>
      </c>
      <c r="E153" s="9">
        <v>537</v>
      </c>
      <c r="F153" s="9">
        <v>5459915</v>
      </c>
      <c r="G153" s="9" t="s">
        <v>196</v>
      </c>
      <c r="H153" s="10">
        <v>43896</v>
      </c>
      <c r="I153" s="15">
        <f t="shared" si="6"/>
        <v>1.2838147638697846E-2</v>
      </c>
      <c r="J153" s="15">
        <f t="shared" si="7"/>
        <v>0.74094452086198992</v>
      </c>
      <c r="K153" s="18">
        <f t="shared" si="8"/>
        <v>3.994567680998697E-4</v>
      </c>
      <c r="L153" s="9" t="str" cm="1">
        <f t="array" ref="L153">_xlfn.IFS(I153&gt;5%,"High Risk",AND(I153&gt;2%,I153&lt;5%),"Modrate Risk",I153&lt;2%, "Low Risk")</f>
        <v>Low Risk</v>
      </c>
      <c r="N153"/>
      <c r="O153"/>
      <c r="P153"/>
      <c r="Q153"/>
      <c r="R153"/>
      <c r="S153"/>
      <c r="T153"/>
      <c r="U153"/>
      <c r="V153"/>
      <c r="W153"/>
      <c r="X153"/>
      <c r="Y153"/>
      <c r="Z153"/>
      <c r="AA153"/>
      <c r="AB153"/>
      <c r="AC153"/>
      <c r="AD153"/>
      <c r="AE153"/>
      <c r="AF153"/>
      <c r="AG153"/>
      <c r="AH153"/>
      <c r="AI153"/>
      <c r="AJ153"/>
      <c r="AK153"/>
      <c r="AL153"/>
      <c r="AM153"/>
      <c r="AN153"/>
      <c r="AO153"/>
      <c r="AP153"/>
      <c r="AQ153"/>
      <c r="AR153"/>
      <c r="AS153"/>
      <c r="AT153"/>
      <c r="AU153"/>
      <c r="AV153"/>
      <c r="AW153"/>
      <c r="AX153"/>
      <c r="AY153"/>
      <c r="AZ153"/>
      <c r="BA153"/>
      <c r="BB153"/>
      <c r="BC153"/>
      <c r="BD153"/>
      <c r="BE153"/>
      <c r="BF153"/>
      <c r="BG153"/>
      <c r="BH153"/>
      <c r="BI153"/>
      <c r="BJ153"/>
      <c r="BK153"/>
      <c r="BL153"/>
      <c r="BM153"/>
      <c r="BN153"/>
      <c r="BO153"/>
      <c r="BP153"/>
      <c r="BQ153"/>
      <c r="BR153"/>
      <c r="BS153"/>
      <c r="BT153"/>
      <c r="BU153"/>
      <c r="BV153"/>
      <c r="BW153"/>
      <c r="BX153"/>
      <c r="BY153"/>
      <c r="BZ153"/>
      <c r="CA153"/>
      <c r="CB153"/>
      <c r="CC153"/>
      <c r="CD153"/>
      <c r="CE153"/>
      <c r="CF153"/>
      <c r="CG153"/>
      <c r="CH153"/>
      <c r="CI153"/>
      <c r="CJ153"/>
      <c r="CK153"/>
      <c r="CL153"/>
      <c r="CM153"/>
      <c r="CN153"/>
      <c r="CO153"/>
      <c r="CP153"/>
      <c r="CQ153"/>
      <c r="CR153"/>
      <c r="CS153"/>
      <c r="CT153"/>
      <c r="CU153"/>
      <c r="CV153"/>
      <c r="CW153"/>
      <c r="CX153"/>
      <c r="CY153"/>
      <c r="CZ153"/>
      <c r="DA153"/>
      <c r="DB153"/>
      <c r="DC153"/>
      <c r="DD153"/>
      <c r="DE153"/>
      <c r="DF153"/>
      <c r="DG153"/>
      <c r="DH153"/>
      <c r="DI153"/>
      <c r="DJ153"/>
      <c r="DK153"/>
      <c r="DL153"/>
      <c r="DM153"/>
      <c r="DN153"/>
      <c r="DO153"/>
      <c r="DP153"/>
      <c r="DQ153"/>
      <c r="DR153"/>
      <c r="DS153"/>
      <c r="DT153"/>
      <c r="DU153"/>
      <c r="DV153"/>
      <c r="DW153"/>
      <c r="DX153"/>
      <c r="DY153"/>
      <c r="DZ153"/>
      <c r="EA153"/>
      <c r="EB153"/>
      <c r="EC153"/>
      <c r="ED153"/>
      <c r="EE153"/>
      <c r="EF153"/>
      <c r="EG153"/>
      <c r="EH153"/>
      <c r="EI153"/>
      <c r="EJ153"/>
      <c r="EK153"/>
      <c r="EL153"/>
      <c r="EM153"/>
      <c r="EN153"/>
      <c r="EO153"/>
      <c r="EP153"/>
      <c r="EQ153"/>
      <c r="ER153"/>
      <c r="ES153"/>
      <c r="ET153"/>
      <c r="EU153"/>
      <c r="EV153"/>
      <c r="EW153"/>
      <c r="EX153"/>
      <c r="EY153"/>
      <c r="EZ153"/>
      <c r="FA153"/>
      <c r="FB153"/>
      <c r="FC153"/>
      <c r="FD153"/>
      <c r="FE153"/>
      <c r="FF153"/>
      <c r="FG153"/>
      <c r="FH153"/>
      <c r="FI153"/>
      <c r="FJ153"/>
      <c r="FK153"/>
      <c r="FL153"/>
      <c r="FM153"/>
      <c r="FN153"/>
      <c r="FO153"/>
      <c r="FP153"/>
      <c r="FQ153"/>
      <c r="FR153"/>
      <c r="FS153"/>
      <c r="FT153"/>
      <c r="FU153"/>
      <c r="FV153"/>
      <c r="FW153"/>
      <c r="FX153"/>
      <c r="FY153"/>
      <c r="FZ153"/>
      <c r="GA153"/>
      <c r="GB153"/>
      <c r="GC153"/>
      <c r="GD153"/>
      <c r="GE153"/>
      <c r="GF153"/>
      <c r="GG153"/>
      <c r="GH153"/>
      <c r="GI153"/>
      <c r="GJ153"/>
      <c r="GK153"/>
    </row>
    <row r="154" spans="1:193" ht="18" hidden="1" customHeight="1" x14ac:dyDescent="0.25">
      <c r="A154" s="8" t="s">
        <v>156</v>
      </c>
      <c r="B154" s="8">
        <v>2087</v>
      </c>
      <c r="C154" s="8">
        <v>116</v>
      </c>
      <c r="D154" s="8">
        <v>1733</v>
      </c>
      <c r="E154" s="8">
        <v>238</v>
      </c>
      <c r="F154" s="8">
        <v>2078968</v>
      </c>
      <c r="G154" s="8" t="s">
        <v>196</v>
      </c>
      <c r="H154" s="1">
        <v>43894</v>
      </c>
      <c r="I154" s="14">
        <f t="shared" si="6"/>
        <v>5.558217537134643E-2</v>
      </c>
      <c r="J154" s="14">
        <f t="shared" si="7"/>
        <v>0.83037853378054627</v>
      </c>
      <c r="K154" s="17">
        <f t="shared" si="8"/>
        <v>1.0038634553297598E-3</v>
      </c>
      <c r="L154" s="8" t="str" cm="1">
        <f t="array" ref="L154">_xlfn.IFS(I154&gt;5%,"High Risk",AND(I154&gt;2%,I154&lt;5%),"Modrate Risk",I154&lt;2%, "Low Risk")</f>
        <v>High Risk</v>
      </c>
      <c r="N154"/>
      <c r="O154"/>
      <c r="P154"/>
      <c r="Q154"/>
      <c r="R154"/>
      <c r="S154"/>
      <c r="T154"/>
      <c r="U154"/>
      <c r="V154"/>
      <c r="W154"/>
      <c r="X154"/>
      <c r="Y154"/>
      <c r="Z154"/>
      <c r="AA154"/>
      <c r="AB154"/>
      <c r="AC154"/>
      <c r="AD154"/>
      <c r="AE154"/>
      <c r="AF154"/>
      <c r="AG154"/>
      <c r="AH154"/>
      <c r="AI154"/>
      <c r="AJ154"/>
      <c r="AK154"/>
      <c r="AL154"/>
      <c r="AM154"/>
      <c r="AN154"/>
      <c r="AO154"/>
      <c r="AP154"/>
      <c r="AQ154"/>
      <c r="AR154"/>
      <c r="AS154"/>
      <c r="AT154"/>
      <c r="AU154"/>
      <c r="AV154"/>
      <c r="AW154"/>
      <c r="AX154"/>
      <c r="AY154"/>
      <c r="AZ154"/>
      <c r="BA154"/>
      <c r="BB154"/>
      <c r="BC154"/>
      <c r="BD154"/>
      <c r="BE154"/>
      <c r="BF154"/>
      <c r="BG154"/>
      <c r="BH154"/>
      <c r="BI154"/>
      <c r="BJ154"/>
      <c r="BK154"/>
      <c r="BL154"/>
      <c r="BM154"/>
      <c r="BN154"/>
      <c r="BO154"/>
      <c r="BP154"/>
      <c r="BQ154"/>
      <c r="BR154"/>
      <c r="BS154"/>
      <c r="BT154"/>
      <c r="BU154"/>
      <c r="BV154"/>
      <c r="BW154"/>
      <c r="BX154"/>
      <c r="BY154"/>
      <c r="BZ154"/>
      <c r="CA154"/>
      <c r="CB154"/>
      <c r="CC154"/>
      <c r="CD154"/>
      <c r="CE154"/>
      <c r="CF154"/>
      <c r="CG154"/>
      <c r="CH154"/>
      <c r="CI154"/>
      <c r="CJ154"/>
      <c r="CK154"/>
      <c r="CL154"/>
      <c r="CM154"/>
      <c r="CN154"/>
      <c r="CO154"/>
      <c r="CP154"/>
      <c r="CQ154"/>
      <c r="CR154"/>
      <c r="CS154"/>
      <c r="CT154"/>
      <c r="CU154"/>
      <c r="CV154"/>
      <c r="CW154"/>
      <c r="CX154"/>
      <c r="CY154"/>
      <c r="CZ154"/>
      <c r="DA154"/>
      <c r="DB154"/>
      <c r="DC154"/>
      <c r="DD154"/>
      <c r="DE154"/>
      <c r="DF154"/>
      <c r="DG154"/>
      <c r="DH154"/>
      <c r="DI154"/>
      <c r="DJ154"/>
      <c r="DK154"/>
      <c r="DL154"/>
      <c r="DM154"/>
      <c r="DN154"/>
      <c r="DO154"/>
      <c r="DP154"/>
      <c r="DQ154"/>
      <c r="DR154"/>
      <c r="DS154"/>
      <c r="DT154"/>
      <c r="DU154"/>
      <c r="DV154"/>
      <c r="DW154"/>
      <c r="DX154"/>
      <c r="DY154"/>
      <c r="DZ154"/>
      <c r="EA154"/>
      <c r="EB154"/>
      <c r="EC154"/>
      <c r="ED154"/>
      <c r="EE154"/>
      <c r="EF154"/>
      <c r="EG154"/>
      <c r="EH154"/>
      <c r="EI154"/>
      <c r="EJ154"/>
      <c r="EK154"/>
      <c r="EL154"/>
      <c r="EM154"/>
      <c r="EN154"/>
      <c r="EO154"/>
      <c r="EP154"/>
      <c r="EQ154"/>
      <c r="ER154"/>
      <c r="ES154"/>
      <c r="ET154"/>
      <c r="EU154"/>
      <c r="EV154"/>
      <c r="EW154"/>
      <c r="EX154"/>
      <c r="EY154"/>
      <c r="EZ154"/>
      <c r="FA154"/>
      <c r="FB154"/>
      <c r="FC154"/>
      <c r="FD154"/>
      <c r="FE154"/>
      <c r="FF154"/>
      <c r="FG154"/>
      <c r="FH154"/>
      <c r="FI154"/>
      <c r="FJ154"/>
      <c r="FK154"/>
      <c r="FL154"/>
      <c r="FM154"/>
      <c r="FN154"/>
      <c r="FO154"/>
      <c r="FP154"/>
      <c r="FQ154"/>
      <c r="FR154"/>
      <c r="FS154"/>
      <c r="FT154"/>
      <c r="FU154"/>
      <c r="FV154"/>
      <c r="FW154"/>
      <c r="FX154"/>
      <c r="FY154"/>
      <c r="FZ154"/>
      <c r="GA154"/>
      <c r="GB154"/>
      <c r="GC154"/>
      <c r="GD154"/>
      <c r="GE154"/>
      <c r="GF154"/>
      <c r="GG154"/>
      <c r="GH154"/>
      <c r="GI154"/>
      <c r="GJ154"/>
      <c r="GK154"/>
    </row>
    <row r="155" spans="1:193" ht="18" hidden="1" customHeight="1" x14ac:dyDescent="0.25">
      <c r="A155" s="9" t="s">
        <v>157</v>
      </c>
      <c r="B155" s="9">
        <v>3196</v>
      </c>
      <c r="C155" s="9">
        <v>93</v>
      </c>
      <c r="D155" s="9">
        <v>1543</v>
      </c>
      <c r="E155" s="9">
        <v>1560</v>
      </c>
      <c r="F155" s="9">
        <v>15933012</v>
      </c>
      <c r="G155" s="9" t="s">
        <v>197</v>
      </c>
      <c r="H155" s="10">
        <v>43906</v>
      </c>
      <c r="I155" s="15">
        <f t="shared" si="6"/>
        <v>2.9098873591989989E-2</v>
      </c>
      <c r="J155" s="15">
        <f t="shared" si="7"/>
        <v>0.48279098873591991</v>
      </c>
      <c r="K155" s="18">
        <f t="shared" si="8"/>
        <v>2.0058981942648382E-4</v>
      </c>
      <c r="L155" s="9" t="str" cm="1">
        <f t="array" ref="L155">_xlfn.IFS(I155&gt;5%,"High Risk",AND(I155&gt;2%,I155&lt;5%),"Modrate Risk",I155&lt;2%, "Low Risk")</f>
        <v>Modrate Risk</v>
      </c>
      <c r="N155"/>
      <c r="O155"/>
      <c r="P155"/>
      <c r="Q155"/>
      <c r="R155"/>
      <c r="S155"/>
      <c r="T155"/>
      <c r="U155"/>
      <c r="V155"/>
      <c r="W155"/>
      <c r="X155"/>
      <c r="Y155"/>
      <c r="Z155"/>
      <c r="AA155"/>
      <c r="AB155"/>
      <c r="AC155"/>
      <c r="AD155"/>
      <c r="AE155"/>
      <c r="AF155"/>
      <c r="AG155"/>
      <c r="AH155"/>
      <c r="AI155"/>
      <c r="AJ155"/>
      <c r="AK155"/>
      <c r="AL155"/>
      <c r="AM155"/>
      <c r="AN155"/>
      <c r="AO155"/>
      <c r="AP155"/>
      <c r="AQ155"/>
      <c r="AR155"/>
      <c r="AS155"/>
      <c r="AT155"/>
      <c r="AU155"/>
      <c r="AV155"/>
      <c r="AW155"/>
      <c r="AX155"/>
      <c r="AY155"/>
      <c r="AZ155"/>
      <c r="BA155"/>
      <c r="BB155"/>
      <c r="BC155"/>
      <c r="BD155"/>
      <c r="BE155"/>
      <c r="BF155"/>
      <c r="BG155"/>
      <c r="BH155"/>
      <c r="BI155"/>
      <c r="BJ155"/>
      <c r="BK155"/>
      <c r="BL155"/>
      <c r="BM155"/>
      <c r="BN155"/>
      <c r="BO155"/>
      <c r="BP155"/>
      <c r="BQ155"/>
      <c r="BR155"/>
      <c r="BS155"/>
      <c r="BT155"/>
      <c r="BU155"/>
      <c r="BV155"/>
      <c r="BW155"/>
      <c r="BX155"/>
      <c r="BY155"/>
      <c r="BZ155"/>
      <c r="CA155"/>
      <c r="CB155"/>
      <c r="CC155"/>
      <c r="CD155"/>
      <c r="CE155"/>
      <c r="CF155"/>
      <c r="CG155"/>
      <c r="CH155"/>
      <c r="CI155"/>
      <c r="CJ155"/>
      <c r="CK155"/>
      <c r="CL155"/>
      <c r="CM155"/>
      <c r="CN155"/>
      <c r="CO155"/>
      <c r="CP155"/>
      <c r="CQ155"/>
      <c r="CR155"/>
      <c r="CS155"/>
      <c r="CT155"/>
      <c r="CU155"/>
      <c r="CV155"/>
      <c r="CW155"/>
      <c r="CX155"/>
      <c r="CY155"/>
      <c r="CZ155"/>
      <c r="DA155"/>
      <c r="DB155"/>
      <c r="DC155"/>
      <c r="DD155"/>
      <c r="DE155"/>
      <c r="DF155"/>
      <c r="DG155"/>
      <c r="DH155"/>
      <c r="DI155"/>
      <c r="DJ155"/>
      <c r="DK155"/>
      <c r="DL155"/>
      <c r="DM155"/>
      <c r="DN155"/>
      <c r="DO155"/>
      <c r="DP155"/>
      <c r="DQ155"/>
      <c r="DR155"/>
      <c r="DS155"/>
      <c r="DT155"/>
      <c r="DU155"/>
      <c r="DV155"/>
      <c r="DW155"/>
      <c r="DX155"/>
      <c r="DY155"/>
      <c r="DZ155"/>
      <c r="EA155"/>
      <c r="EB155"/>
      <c r="EC155"/>
      <c r="ED155"/>
      <c r="EE155"/>
      <c r="EF155"/>
      <c r="EG155"/>
      <c r="EH155"/>
      <c r="EI155"/>
      <c r="EJ155"/>
      <c r="EK155"/>
      <c r="EL155"/>
      <c r="EM155"/>
      <c r="EN155"/>
      <c r="EO155"/>
      <c r="EP155"/>
      <c r="EQ155"/>
      <c r="ER155"/>
      <c r="ES155"/>
      <c r="ET155"/>
      <c r="EU155"/>
      <c r="EV155"/>
      <c r="EW155"/>
      <c r="EX155"/>
      <c r="EY155"/>
      <c r="EZ155"/>
      <c r="FA155"/>
      <c r="FB155"/>
      <c r="FC155"/>
      <c r="FD155"/>
      <c r="FE155"/>
      <c r="FF155"/>
      <c r="FG155"/>
      <c r="FH155"/>
      <c r="FI155"/>
      <c r="FJ155"/>
      <c r="FK155"/>
      <c r="FL155"/>
      <c r="FM155"/>
      <c r="FN155"/>
      <c r="FO155"/>
      <c r="FP155"/>
      <c r="FQ155"/>
      <c r="FR155"/>
      <c r="FS155"/>
      <c r="FT155"/>
      <c r="FU155"/>
      <c r="FV155"/>
      <c r="FW155"/>
      <c r="FX155"/>
      <c r="FY155"/>
      <c r="FZ155"/>
      <c r="GA155"/>
      <c r="GB155"/>
      <c r="GC155"/>
      <c r="GD155"/>
      <c r="GE155"/>
      <c r="GF155"/>
      <c r="GG155"/>
      <c r="GH155"/>
      <c r="GI155"/>
      <c r="GJ155"/>
      <c r="GK155"/>
    </row>
    <row r="156" spans="1:193" ht="18" customHeight="1" x14ac:dyDescent="0.25">
      <c r="A156" s="8" t="s">
        <v>158</v>
      </c>
      <c r="B156" s="8">
        <v>452529</v>
      </c>
      <c r="C156" s="8">
        <v>7067</v>
      </c>
      <c r="D156" s="8">
        <v>274925</v>
      </c>
      <c r="E156" s="8">
        <v>170537</v>
      </c>
      <c r="F156" s="8">
        <v>59381566</v>
      </c>
      <c r="G156" s="8" t="s">
        <v>197</v>
      </c>
      <c r="H156" s="1">
        <v>43895</v>
      </c>
      <c r="I156" s="14">
        <f t="shared" si="6"/>
        <v>1.5616678710093718E-2</v>
      </c>
      <c r="J156" s="14">
        <f t="shared" si="7"/>
        <v>0.60753012514115112</v>
      </c>
      <c r="K156" s="17">
        <f t="shared" si="8"/>
        <v>7.6206983157028904E-3</v>
      </c>
      <c r="L156" s="8" t="str" cm="1">
        <f t="array" ref="L156">_xlfn.IFS(I156&gt;5%,"High Risk",AND(I156&gt;2%,I156&lt;5%),"Modrate Risk",I156&lt;2%, "Low Risk")</f>
        <v>Low Risk</v>
      </c>
      <c r="N156"/>
      <c r="O156"/>
      <c r="P156"/>
      <c r="Q156"/>
      <c r="R156"/>
      <c r="S156"/>
      <c r="T156"/>
      <c r="U156"/>
      <c r="V156"/>
      <c r="W156"/>
      <c r="X156"/>
      <c r="Y156"/>
      <c r="Z156"/>
      <c r="AA156"/>
      <c r="AB156"/>
      <c r="AC156"/>
      <c r="AD156"/>
      <c r="AE156"/>
      <c r="AF156"/>
      <c r="AG156"/>
      <c r="AH156"/>
      <c r="AI156"/>
      <c r="AJ156"/>
      <c r="AK156"/>
      <c r="AL156"/>
      <c r="AM156"/>
      <c r="AN156"/>
      <c r="AO156"/>
      <c r="AP156"/>
      <c r="AQ156"/>
      <c r="AR156"/>
      <c r="AS156"/>
      <c r="AT156"/>
      <c r="AU156"/>
      <c r="AV156"/>
      <c r="AW156"/>
      <c r="AX156"/>
      <c r="AY156"/>
      <c r="AZ156"/>
      <c r="BA156"/>
      <c r="BB156"/>
      <c r="BC156"/>
      <c r="BD156"/>
      <c r="BE156"/>
      <c r="BF156"/>
      <c r="BG156"/>
      <c r="BH156"/>
      <c r="BI156"/>
      <c r="BJ156"/>
      <c r="BK156"/>
      <c r="BL156"/>
      <c r="BM156"/>
      <c r="BN156"/>
      <c r="BO156"/>
      <c r="BP156"/>
      <c r="BQ156"/>
      <c r="BR156"/>
      <c r="BS156"/>
      <c r="BT156"/>
      <c r="BU156"/>
      <c r="BV156"/>
      <c r="BW156"/>
      <c r="BX156"/>
      <c r="BY156"/>
      <c r="BZ156"/>
      <c r="CA156"/>
      <c r="CB156"/>
      <c r="CC156"/>
      <c r="CD156"/>
      <c r="CE156"/>
      <c r="CF156"/>
      <c r="CG156"/>
      <c r="CH156"/>
      <c r="CI156"/>
      <c r="CJ156"/>
      <c r="CK156"/>
      <c r="CL156"/>
      <c r="CM156"/>
      <c r="CN156"/>
      <c r="CO156"/>
      <c r="CP156"/>
      <c r="CQ156"/>
      <c r="CR156"/>
      <c r="CS156"/>
      <c r="CT156"/>
      <c r="CU156"/>
      <c r="CV156"/>
      <c r="CW156"/>
      <c r="CX156"/>
      <c r="CY156"/>
      <c r="CZ156"/>
      <c r="DA156"/>
      <c r="DB156"/>
      <c r="DC156"/>
      <c r="DD156"/>
      <c r="DE156"/>
      <c r="DF156"/>
      <c r="DG156"/>
      <c r="DH156"/>
      <c r="DI156"/>
      <c r="DJ156"/>
      <c r="DK156"/>
      <c r="DL156"/>
      <c r="DM156"/>
      <c r="DN156"/>
      <c r="DO156"/>
      <c r="DP156"/>
      <c r="DQ156"/>
      <c r="DR156"/>
      <c r="DS156"/>
      <c r="DT156"/>
      <c r="DU156"/>
      <c r="DV156"/>
      <c r="DW156"/>
      <c r="DX156"/>
      <c r="DY156"/>
      <c r="DZ156"/>
      <c r="EA156"/>
      <c r="EB156"/>
      <c r="EC156"/>
      <c r="ED156"/>
      <c r="EE156"/>
      <c r="EF156"/>
      <c r="EG156"/>
      <c r="EH156"/>
      <c r="EI156"/>
      <c r="EJ156"/>
      <c r="EK156"/>
      <c r="EL156"/>
      <c r="EM156"/>
      <c r="EN156"/>
      <c r="EO156"/>
      <c r="EP156"/>
      <c r="EQ156"/>
      <c r="ER156"/>
      <c r="ES156"/>
      <c r="ET156"/>
      <c r="EU156"/>
      <c r="EV156"/>
      <c r="EW156"/>
      <c r="EX156"/>
      <c r="EY156"/>
      <c r="EZ156"/>
      <c r="FA156"/>
      <c r="FB156"/>
      <c r="FC156"/>
      <c r="FD156"/>
      <c r="FE156"/>
      <c r="FF156"/>
      <c r="FG156"/>
      <c r="FH156"/>
      <c r="FI156"/>
      <c r="FJ156"/>
      <c r="FK156"/>
      <c r="FL156"/>
      <c r="FM156"/>
      <c r="FN156"/>
      <c r="FO156"/>
      <c r="FP156"/>
      <c r="FQ156"/>
      <c r="FR156"/>
      <c r="FS156"/>
      <c r="FT156"/>
      <c r="FU156"/>
      <c r="FV156"/>
      <c r="FW156"/>
      <c r="FX156"/>
      <c r="FY156"/>
      <c r="FZ156"/>
      <c r="GA156"/>
      <c r="GB156"/>
      <c r="GC156"/>
      <c r="GD156"/>
      <c r="GE156"/>
      <c r="GF156"/>
      <c r="GG156"/>
      <c r="GH156"/>
      <c r="GI156"/>
      <c r="GJ156"/>
      <c r="GK156"/>
    </row>
    <row r="157" spans="1:193" ht="18" hidden="1" customHeight="1" x14ac:dyDescent="0.25">
      <c r="A157" s="9" t="s">
        <v>159</v>
      </c>
      <c r="B157" s="9">
        <v>14203</v>
      </c>
      <c r="C157" s="9">
        <v>300</v>
      </c>
      <c r="D157" s="9">
        <v>13007</v>
      </c>
      <c r="E157" s="9">
        <v>896</v>
      </c>
      <c r="F157" s="9">
        <v>51273732</v>
      </c>
      <c r="G157" s="9" t="s">
        <v>195</v>
      </c>
      <c r="H157" s="10">
        <v>43850</v>
      </c>
      <c r="I157" s="15">
        <f t="shared" si="6"/>
        <v>2.1122298106033936E-2</v>
      </c>
      <c r="J157" s="15">
        <f t="shared" si="7"/>
        <v>0.91579243821727807</v>
      </c>
      <c r="K157" s="18">
        <f t="shared" si="8"/>
        <v>2.7700343715959667E-4</v>
      </c>
      <c r="L157" s="9" t="str" cm="1">
        <f t="array" ref="L157">_xlfn.IFS(I157&gt;5%,"High Risk",AND(I157&gt;2%,I157&lt;5%),"Modrate Risk",I157&lt;2%, "Low Risk")</f>
        <v>Modrate Risk</v>
      </c>
      <c r="N157"/>
      <c r="O157"/>
      <c r="P157"/>
      <c r="Q157"/>
      <c r="R157"/>
      <c r="S157"/>
      <c r="T157"/>
      <c r="U157"/>
      <c r="V157"/>
      <c r="W157"/>
      <c r="X157"/>
      <c r="Y157"/>
      <c r="Z157"/>
      <c r="AA157"/>
      <c r="AB157"/>
      <c r="AC157"/>
      <c r="AD157"/>
      <c r="AE157"/>
      <c r="AF157"/>
      <c r="AG157"/>
      <c r="AH157"/>
      <c r="AI157"/>
      <c r="AJ157"/>
      <c r="AK157"/>
      <c r="AL157"/>
      <c r="AM157"/>
      <c r="AN157"/>
      <c r="AO157"/>
      <c r="AP157"/>
      <c r="AQ157"/>
      <c r="AR157"/>
      <c r="AS157"/>
      <c r="AT157"/>
      <c r="AU157"/>
      <c r="AV157"/>
      <c r="AW157"/>
      <c r="AX157"/>
      <c r="AY157"/>
      <c r="AZ157"/>
      <c r="BA157"/>
      <c r="BB157"/>
      <c r="BC157"/>
      <c r="BD157"/>
      <c r="BE157"/>
      <c r="BF157"/>
      <c r="BG157"/>
      <c r="BH157"/>
      <c r="BI157"/>
      <c r="BJ157"/>
      <c r="BK157"/>
      <c r="BL157"/>
      <c r="BM157"/>
      <c r="BN157"/>
      <c r="BO157"/>
      <c r="BP157"/>
      <c r="BQ157"/>
      <c r="BR157"/>
      <c r="BS157"/>
      <c r="BT157"/>
      <c r="BU157"/>
      <c r="BV157"/>
      <c r="BW157"/>
      <c r="BX157"/>
      <c r="BY157"/>
      <c r="BZ157"/>
      <c r="CA157"/>
      <c r="CB157"/>
      <c r="CC157"/>
      <c r="CD157"/>
      <c r="CE157"/>
      <c r="CF157"/>
      <c r="CG157"/>
      <c r="CH157"/>
      <c r="CI157"/>
      <c r="CJ157"/>
      <c r="CK157"/>
      <c r="CL157"/>
      <c r="CM157"/>
      <c r="CN157"/>
      <c r="CO157"/>
      <c r="CP157"/>
      <c r="CQ157"/>
      <c r="CR157"/>
      <c r="CS157"/>
      <c r="CT157"/>
      <c r="CU157"/>
      <c r="CV157"/>
      <c r="CW157"/>
      <c r="CX157"/>
      <c r="CY157"/>
      <c r="CZ157"/>
      <c r="DA157"/>
      <c r="DB157"/>
      <c r="DC157"/>
      <c r="DD157"/>
      <c r="DE157"/>
      <c r="DF157"/>
      <c r="DG157"/>
      <c r="DH157"/>
      <c r="DI157"/>
      <c r="DJ157"/>
      <c r="DK157"/>
      <c r="DL157"/>
      <c r="DM157"/>
      <c r="DN157"/>
      <c r="DO157"/>
      <c r="DP157"/>
      <c r="DQ157"/>
      <c r="DR157"/>
      <c r="DS157"/>
      <c r="DT157"/>
      <c r="DU157"/>
      <c r="DV157"/>
      <c r="DW157"/>
      <c r="DX157"/>
      <c r="DY157"/>
      <c r="DZ157"/>
      <c r="EA157"/>
      <c r="EB157"/>
      <c r="EC157"/>
      <c r="ED157"/>
      <c r="EE157"/>
      <c r="EF157"/>
      <c r="EG157"/>
      <c r="EH157"/>
      <c r="EI157"/>
      <c r="EJ157"/>
      <c r="EK157"/>
      <c r="EL157"/>
      <c r="EM157"/>
      <c r="EN157"/>
      <c r="EO157"/>
      <c r="EP157"/>
      <c r="EQ157"/>
      <c r="ER157"/>
      <c r="ES157"/>
      <c r="ET157"/>
      <c r="EU157"/>
      <c r="EV157"/>
      <c r="EW157"/>
      <c r="EX157"/>
      <c r="EY157"/>
      <c r="EZ157"/>
      <c r="FA157"/>
      <c r="FB157"/>
      <c r="FC157"/>
      <c r="FD157"/>
      <c r="FE157"/>
      <c r="FF157"/>
      <c r="FG157"/>
      <c r="FH157"/>
      <c r="FI157"/>
      <c r="FJ157"/>
      <c r="FK157"/>
      <c r="FL157"/>
      <c r="FM157"/>
      <c r="FN157"/>
      <c r="FO157"/>
      <c r="FP157"/>
      <c r="FQ157"/>
      <c r="FR157"/>
      <c r="FS157"/>
      <c r="FT157"/>
      <c r="FU157"/>
      <c r="FV157"/>
      <c r="FW157"/>
      <c r="FX157"/>
      <c r="FY157"/>
      <c r="FZ157"/>
      <c r="GA157"/>
      <c r="GB157"/>
      <c r="GC157"/>
      <c r="GD157"/>
      <c r="GE157"/>
      <c r="GF157"/>
      <c r="GG157"/>
      <c r="GH157"/>
      <c r="GI157"/>
      <c r="GJ157"/>
      <c r="GK157"/>
    </row>
    <row r="158" spans="1:193" ht="18" hidden="1" customHeight="1" x14ac:dyDescent="0.25">
      <c r="A158" s="8" t="s">
        <v>160</v>
      </c>
      <c r="B158" s="8">
        <v>2305</v>
      </c>
      <c r="C158" s="8">
        <v>46</v>
      </c>
      <c r="D158" s="8">
        <v>1175</v>
      </c>
      <c r="E158" s="8">
        <v>1084</v>
      </c>
      <c r="F158" s="8">
        <v>11206572</v>
      </c>
      <c r="G158" s="8" t="s">
        <v>197</v>
      </c>
      <c r="H158" s="1">
        <v>43926</v>
      </c>
      <c r="I158" s="14">
        <f t="shared" si="6"/>
        <v>1.9956616052060738E-2</v>
      </c>
      <c r="J158" s="14">
        <f t="shared" si="7"/>
        <v>0.50976138828633411</v>
      </c>
      <c r="K158" s="17">
        <f t="shared" si="8"/>
        <v>2.0568287965311784E-4</v>
      </c>
      <c r="L158" s="8" t="str" cm="1">
        <f t="array" ref="L158">_xlfn.IFS(I158&gt;5%,"High Risk",AND(I158&gt;2%,I158&lt;5%),"Modrate Risk",I158&lt;2%, "Low Risk")</f>
        <v>Low Risk</v>
      </c>
      <c r="N158"/>
      <c r="O158"/>
      <c r="P158"/>
      <c r="Q158"/>
      <c r="R158"/>
      <c r="S158"/>
      <c r="T158"/>
      <c r="U158"/>
      <c r="V158"/>
      <c r="W158"/>
      <c r="X158"/>
      <c r="Y158"/>
      <c r="Z158"/>
      <c r="AA158"/>
      <c r="AB158"/>
      <c r="AC158"/>
      <c r="AD158"/>
      <c r="AE158"/>
      <c r="AF158"/>
      <c r="AG158"/>
      <c r="AH158"/>
      <c r="AI158"/>
      <c r="AJ158"/>
      <c r="AK158"/>
      <c r="AL158"/>
      <c r="AM158"/>
      <c r="AN158"/>
      <c r="AO158"/>
      <c r="AP158"/>
      <c r="AQ158"/>
      <c r="AR158"/>
      <c r="AS158"/>
      <c r="AT158"/>
      <c r="AU158"/>
      <c r="AV158"/>
      <c r="AW158"/>
      <c r="AX158"/>
      <c r="AY158"/>
      <c r="AZ158"/>
      <c r="BA158"/>
      <c r="BB158"/>
      <c r="BC158"/>
      <c r="BD158"/>
      <c r="BE158"/>
      <c r="BF158"/>
      <c r="BG158"/>
      <c r="BH158"/>
      <c r="BI158"/>
      <c r="BJ158"/>
      <c r="BK158"/>
      <c r="BL158"/>
      <c r="BM158"/>
      <c r="BN158"/>
      <c r="BO158"/>
      <c r="BP158"/>
      <c r="BQ158"/>
      <c r="BR158"/>
      <c r="BS158"/>
      <c r="BT158"/>
      <c r="BU158"/>
      <c r="BV158"/>
      <c r="BW158"/>
      <c r="BX158"/>
      <c r="BY158"/>
      <c r="BZ158"/>
      <c r="CA158"/>
      <c r="CB158"/>
      <c r="CC158"/>
      <c r="CD158"/>
      <c r="CE158"/>
      <c r="CF158"/>
      <c r="CG158"/>
      <c r="CH158"/>
      <c r="CI158"/>
      <c r="CJ158"/>
      <c r="CK158"/>
      <c r="CL158"/>
      <c r="CM158"/>
      <c r="CN158"/>
      <c r="CO158"/>
      <c r="CP158"/>
      <c r="CQ158"/>
      <c r="CR158"/>
      <c r="CS158"/>
      <c r="CT158"/>
      <c r="CU158"/>
      <c r="CV158"/>
      <c r="CW158"/>
      <c r="CX158"/>
      <c r="CY158"/>
      <c r="CZ158"/>
      <c r="DA158"/>
      <c r="DB158"/>
      <c r="DC158"/>
      <c r="DD158"/>
      <c r="DE158"/>
      <c r="DF158"/>
      <c r="DG158"/>
      <c r="DH158"/>
      <c r="DI158"/>
      <c r="DJ158"/>
      <c r="DK158"/>
      <c r="DL158"/>
      <c r="DM158"/>
      <c r="DN158"/>
      <c r="DO158"/>
      <c r="DP158"/>
      <c r="DQ158"/>
      <c r="DR158"/>
      <c r="DS158"/>
      <c r="DT158"/>
      <c r="DU158"/>
      <c r="DV158"/>
      <c r="DW158"/>
      <c r="DX158"/>
      <c r="DY158"/>
      <c r="DZ158"/>
      <c r="EA158"/>
      <c r="EB158"/>
      <c r="EC158"/>
      <c r="ED158"/>
      <c r="EE158"/>
      <c r="EF158"/>
      <c r="EG158"/>
      <c r="EH158"/>
      <c r="EI158"/>
      <c r="EJ158"/>
      <c r="EK158"/>
      <c r="EL158"/>
      <c r="EM158"/>
      <c r="EN158"/>
      <c r="EO158"/>
      <c r="EP158"/>
      <c r="EQ158"/>
      <c r="ER158"/>
      <c r="ES158"/>
      <c r="ET158"/>
      <c r="EU158"/>
      <c r="EV158"/>
      <c r="EW158"/>
      <c r="EX158"/>
      <c r="EY158"/>
      <c r="EZ158"/>
      <c r="FA158"/>
      <c r="FB158"/>
      <c r="FC158"/>
      <c r="FD158"/>
      <c r="FE158"/>
      <c r="FF158"/>
      <c r="FG158"/>
      <c r="FH158"/>
      <c r="FI158"/>
      <c r="FJ158"/>
      <c r="FK158"/>
      <c r="FL158"/>
      <c r="FM158"/>
      <c r="FN158"/>
      <c r="FO158"/>
      <c r="FP158"/>
      <c r="FQ158"/>
      <c r="FR158"/>
      <c r="FS158"/>
      <c r="FT158"/>
      <c r="FU158"/>
      <c r="FV158"/>
      <c r="FW158"/>
      <c r="FX158"/>
      <c r="FY158"/>
      <c r="FZ158"/>
      <c r="GA158"/>
      <c r="GB158"/>
      <c r="GC158"/>
      <c r="GD158"/>
      <c r="GE158"/>
      <c r="GF158"/>
      <c r="GG158"/>
      <c r="GH158"/>
      <c r="GI158"/>
      <c r="GJ158"/>
      <c r="GK158"/>
    </row>
    <row r="159" spans="1:193" ht="18" hidden="1" customHeight="1" x14ac:dyDescent="0.25">
      <c r="A159" s="9" t="s">
        <v>161</v>
      </c>
      <c r="B159" s="9">
        <v>272421</v>
      </c>
      <c r="C159" s="9">
        <v>28432</v>
      </c>
      <c r="D159" s="9">
        <v>150376</v>
      </c>
      <c r="E159" s="9">
        <v>93613</v>
      </c>
      <c r="F159" s="9">
        <v>46756648</v>
      </c>
      <c r="G159" s="9" t="s">
        <v>196</v>
      </c>
      <c r="H159" s="10">
        <v>43861</v>
      </c>
      <c r="I159" s="15">
        <f t="shared" si="6"/>
        <v>0.10436787178668311</v>
      </c>
      <c r="J159" s="15">
        <f t="shared" si="7"/>
        <v>0.55199856105072664</v>
      </c>
      <c r="K159" s="18">
        <f t="shared" si="8"/>
        <v>5.8263586388827534E-3</v>
      </c>
      <c r="L159" s="9" t="str" cm="1">
        <f t="array" ref="L159">_xlfn.IFS(I159&gt;5%,"High Risk",AND(I159&gt;2%,I159&lt;5%),"Modrate Risk",I159&lt;2%, "Low Risk")</f>
        <v>High Risk</v>
      </c>
      <c r="N159"/>
      <c r="O159"/>
      <c r="P159"/>
      <c r="Q159"/>
      <c r="R159"/>
      <c r="S159"/>
      <c r="T159"/>
      <c r="U159"/>
      <c r="V159"/>
      <c r="W159"/>
      <c r="X159"/>
      <c r="Y159"/>
      <c r="Z159"/>
      <c r="AA159"/>
      <c r="AB159"/>
      <c r="AC159"/>
      <c r="AD159"/>
      <c r="AE159"/>
      <c r="AF159"/>
      <c r="AG159"/>
      <c r="AH159"/>
      <c r="AI159"/>
      <c r="AJ159"/>
      <c r="AK159"/>
      <c r="AL159"/>
      <c r="AM159"/>
      <c r="AN159"/>
      <c r="AO159"/>
      <c r="AP159"/>
      <c r="AQ159"/>
      <c r="AR159"/>
      <c r="AS159"/>
      <c r="AT159"/>
      <c r="AU159"/>
      <c r="AV159"/>
      <c r="AW159"/>
      <c r="AX159"/>
      <c r="AY159"/>
      <c r="AZ159"/>
      <c r="BA159"/>
      <c r="BB159"/>
      <c r="BC159"/>
      <c r="BD159"/>
      <c r="BE159"/>
      <c r="BF159"/>
      <c r="BG159"/>
      <c r="BH159"/>
      <c r="BI159"/>
      <c r="BJ159"/>
      <c r="BK159"/>
      <c r="BL159"/>
      <c r="BM159"/>
      <c r="BN159"/>
      <c r="BO159"/>
      <c r="BP159"/>
      <c r="BQ159"/>
      <c r="BR159"/>
      <c r="BS159"/>
      <c r="BT159"/>
      <c r="BU159"/>
      <c r="BV159"/>
      <c r="BW159"/>
      <c r="BX159"/>
      <c r="BY159"/>
      <c r="BZ159"/>
      <c r="CA159"/>
      <c r="CB159"/>
      <c r="CC159"/>
      <c r="CD159"/>
      <c r="CE159"/>
      <c r="CF159"/>
      <c r="CG159"/>
      <c r="CH159"/>
      <c r="CI159"/>
      <c r="CJ159"/>
      <c r="CK159"/>
      <c r="CL159"/>
      <c r="CM159"/>
      <c r="CN159"/>
      <c r="CO159"/>
      <c r="CP159"/>
      <c r="CQ159"/>
      <c r="CR159"/>
      <c r="CS159"/>
      <c r="CT159"/>
      <c r="CU159"/>
      <c r="CV159"/>
      <c r="CW159"/>
      <c r="CX159"/>
      <c r="CY159"/>
      <c r="CZ159"/>
      <c r="DA159"/>
      <c r="DB159"/>
      <c r="DC159"/>
      <c r="DD159"/>
      <c r="DE159"/>
      <c r="DF159"/>
      <c r="DG159"/>
      <c r="DH159"/>
      <c r="DI159"/>
      <c r="DJ159"/>
      <c r="DK159"/>
      <c r="DL159"/>
      <c r="DM159"/>
      <c r="DN159"/>
      <c r="DO159"/>
      <c r="DP159"/>
      <c r="DQ159"/>
      <c r="DR159"/>
      <c r="DS159"/>
      <c r="DT159"/>
      <c r="DU159"/>
      <c r="DV159"/>
      <c r="DW159"/>
      <c r="DX159"/>
      <c r="DY159"/>
      <c r="DZ159"/>
      <c r="EA159"/>
      <c r="EB159"/>
      <c r="EC159"/>
      <c r="ED159"/>
      <c r="EE159"/>
      <c r="EF159"/>
      <c r="EG159"/>
      <c r="EH159"/>
      <c r="EI159"/>
      <c r="EJ159"/>
      <c r="EK159"/>
      <c r="EL159"/>
      <c r="EM159"/>
      <c r="EN159"/>
      <c r="EO159"/>
      <c r="EP159"/>
      <c r="EQ159"/>
      <c r="ER159"/>
      <c r="ES159"/>
      <c r="ET159"/>
      <c r="EU159"/>
      <c r="EV159"/>
      <c r="EW159"/>
      <c r="EX159"/>
      <c r="EY159"/>
      <c r="EZ159"/>
      <c r="FA159"/>
      <c r="FB159"/>
      <c r="FC159"/>
      <c r="FD159"/>
      <c r="FE159"/>
      <c r="FF159"/>
      <c r="FG159"/>
      <c r="FH159"/>
      <c r="FI159"/>
      <c r="FJ159"/>
      <c r="FK159"/>
      <c r="FL159"/>
      <c r="FM159"/>
      <c r="FN159"/>
      <c r="FO159"/>
      <c r="FP159"/>
      <c r="FQ159"/>
      <c r="FR159"/>
      <c r="FS159"/>
      <c r="FT159"/>
      <c r="FU159"/>
      <c r="FV159"/>
      <c r="FW159"/>
      <c r="FX159"/>
      <c r="FY159"/>
      <c r="FZ159"/>
      <c r="GA159"/>
      <c r="GB159"/>
      <c r="GC159"/>
      <c r="GD159"/>
      <c r="GE159"/>
      <c r="GF159"/>
      <c r="GG159"/>
      <c r="GH159"/>
      <c r="GI159"/>
      <c r="GJ159"/>
      <c r="GK159"/>
    </row>
    <row r="160" spans="1:193" ht="18" hidden="1" customHeight="1" x14ac:dyDescent="0.25">
      <c r="A160" s="8" t="s">
        <v>162</v>
      </c>
      <c r="B160" s="8">
        <v>2805</v>
      </c>
      <c r="C160" s="8">
        <v>11</v>
      </c>
      <c r="D160" s="8">
        <v>2121</v>
      </c>
      <c r="E160" s="8">
        <v>673</v>
      </c>
      <c r="F160" s="8">
        <v>21422362</v>
      </c>
      <c r="G160" s="8" t="s">
        <v>195</v>
      </c>
      <c r="H160" s="1">
        <v>43857</v>
      </c>
      <c r="I160" s="14">
        <f t="shared" si="6"/>
        <v>3.9215686274509803E-3</v>
      </c>
      <c r="J160" s="14">
        <f t="shared" si="7"/>
        <v>0.75614973262032081</v>
      </c>
      <c r="K160" s="17">
        <f t="shared" si="8"/>
        <v>1.3093794232400704E-4</v>
      </c>
      <c r="L160" s="8" t="str" cm="1">
        <f t="array" ref="L160">_xlfn.IFS(I160&gt;5%,"High Risk",AND(I160&gt;2%,I160&lt;5%),"Modrate Risk",I160&lt;2%, "Low Risk")</f>
        <v>Low Risk</v>
      </c>
      <c r="N160"/>
      <c r="O160"/>
      <c r="P160"/>
      <c r="Q160"/>
      <c r="R160"/>
      <c r="S160"/>
      <c r="T160"/>
      <c r="U160"/>
      <c r="V160"/>
      <c r="W160"/>
      <c r="X160"/>
      <c r="Y160"/>
      <c r="Z160"/>
      <c r="AA160"/>
      <c r="AB160"/>
      <c r="AC160"/>
      <c r="AD160"/>
      <c r="AE160"/>
      <c r="AF160"/>
      <c r="AG160"/>
      <c r="AH160"/>
      <c r="AI160"/>
      <c r="AJ160"/>
      <c r="AK160"/>
      <c r="AL160"/>
      <c r="AM160"/>
      <c r="AN160"/>
      <c r="AO160"/>
      <c r="AP160"/>
      <c r="AQ160"/>
      <c r="AR160"/>
      <c r="AS160"/>
      <c r="AT160"/>
      <c r="AU160"/>
      <c r="AV160"/>
      <c r="AW160"/>
      <c r="AX160"/>
      <c r="AY160"/>
      <c r="AZ160"/>
      <c r="BA160"/>
      <c r="BB160"/>
      <c r="BC160"/>
      <c r="BD160"/>
      <c r="BE160"/>
      <c r="BF160"/>
      <c r="BG160"/>
      <c r="BH160"/>
      <c r="BI160"/>
      <c r="BJ160"/>
      <c r="BK160"/>
      <c r="BL160"/>
      <c r="BM160"/>
      <c r="BN160"/>
      <c r="BO160"/>
      <c r="BP160"/>
      <c r="BQ160"/>
      <c r="BR160"/>
      <c r="BS160"/>
      <c r="BT160"/>
      <c r="BU160"/>
      <c r="BV160"/>
      <c r="BW160"/>
      <c r="BX160"/>
      <c r="BY160"/>
      <c r="BZ160"/>
      <c r="CA160"/>
      <c r="CB160"/>
      <c r="CC160"/>
      <c r="CD160"/>
      <c r="CE160"/>
      <c r="CF160"/>
      <c r="CG160"/>
      <c r="CH160"/>
      <c r="CI160"/>
      <c r="CJ160"/>
      <c r="CK160"/>
      <c r="CL160"/>
      <c r="CM160"/>
      <c r="CN160"/>
      <c r="CO160"/>
      <c r="CP160"/>
      <c r="CQ160"/>
      <c r="CR160"/>
      <c r="CS160"/>
      <c r="CT160"/>
      <c r="CU160"/>
      <c r="CV160"/>
      <c r="CW160"/>
      <c r="CX160"/>
      <c r="CY160"/>
      <c r="CZ160"/>
      <c r="DA160"/>
      <c r="DB160"/>
      <c r="DC160"/>
      <c r="DD160"/>
      <c r="DE160"/>
      <c r="DF160"/>
      <c r="DG160"/>
      <c r="DH160"/>
      <c r="DI160"/>
      <c r="DJ160"/>
      <c r="DK160"/>
      <c r="DL160"/>
      <c r="DM160"/>
      <c r="DN160"/>
      <c r="DO160"/>
      <c r="DP160"/>
      <c r="DQ160"/>
      <c r="DR160"/>
      <c r="DS160"/>
      <c r="DT160"/>
      <c r="DU160"/>
      <c r="DV160"/>
      <c r="DW160"/>
      <c r="DX160"/>
      <c r="DY160"/>
      <c r="DZ160"/>
      <c r="EA160"/>
      <c r="EB160"/>
      <c r="EC160"/>
      <c r="ED160"/>
      <c r="EE160"/>
      <c r="EF160"/>
      <c r="EG160"/>
      <c r="EH160"/>
      <c r="EI160"/>
      <c r="EJ160"/>
      <c r="EK160"/>
      <c r="EL160"/>
      <c r="EM160"/>
      <c r="EN160"/>
      <c r="EO160"/>
      <c r="EP160"/>
      <c r="EQ160"/>
      <c r="ER160"/>
      <c r="ES160"/>
      <c r="ET160"/>
      <c r="EU160"/>
      <c r="EV160"/>
      <c r="EW160"/>
      <c r="EX160"/>
      <c r="EY160"/>
      <c r="EZ160"/>
      <c r="FA160"/>
      <c r="FB160"/>
      <c r="FC160"/>
      <c r="FD160"/>
      <c r="FE160"/>
      <c r="FF160"/>
      <c r="FG160"/>
      <c r="FH160"/>
      <c r="FI160"/>
      <c r="FJ160"/>
      <c r="FK160"/>
      <c r="FL160"/>
      <c r="FM160"/>
      <c r="FN160"/>
      <c r="FO160"/>
      <c r="FP160"/>
      <c r="FQ160"/>
      <c r="FR160"/>
      <c r="FS160"/>
      <c r="FT160"/>
      <c r="FU160"/>
      <c r="FV160"/>
      <c r="FW160"/>
      <c r="FX160"/>
      <c r="FY160"/>
      <c r="FZ160"/>
      <c r="GA160"/>
      <c r="GB160"/>
      <c r="GC160"/>
      <c r="GD160"/>
      <c r="GE160"/>
      <c r="GF160"/>
      <c r="GG160"/>
      <c r="GH160"/>
      <c r="GI160"/>
      <c r="GJ160"/>
      <c r="GK160"/>
    </row>
    <row r="161" spans="1:193" ht="18" hidden="1" customHeight="1" x14ac:dyDescent="0.25">
      <c r="A161" s="9" t="s">
        <v>163</v>
      </c>
      <c r="B161" s="9">
        <v>11424</v>
      </c>
      <c r="C161" s="9">
        <v>720</v>
      </c>
      <c r="D161" s="9">
        <v>5939</v>
      </c>
      <c r="E161" s="9">
        <v>4765</v>
      </c>
      <c r="F161" s="9">
        <v>43943536</v>
      </c>
      <c r="G161" s="9" t="s">
        <v>197</v>
      </c>
      <c r="H161" s="10">
        <v>43903</v>
      </c>
      <c r="I161" s="15">
        <f t="shared" si="6"/>
        <v>6.3025210084033612E-2</v>
      </c>
      <c r="J161" s="15">
        <f t="shared" si="7"/>
        <v>0.51987044817927175</v>
      </c>
      <c r="K161" s="18">
        <f t="shared" si="8"/>
        <v>2.5996997601649536E-4</v>
      </c>
      <c r="L161" s="9" t="str" cm="1">
        <f t="array" ref="L161">_xlfn.IFS(I161&gt;5%,"High Risk",AND(I161&gt;2%,I161&lt;5%),"Modrate Risk",I161&lt;2%, "Low Risk")</f>
        <v>High Risk</v>
      </c>
      <c r="N161"/>
      <c r="O161"/>
      <c r="P161"/>
      <c r="Q161"/>
      <c r="R161"/>
      <c r="S161"/>
      <c r="T161"/>
      <c r="U161"/>
      <c r="V161"/>
      <c r="W161"/>
      <c r="X161"/>
      <c r="Y161"/>
      <c r="Z161"/>
      <c r="AA161"/>
      <c r="AB161"/>
      <c r="AC161"/>
      <c r="AD161"/>
      <c r="AE161"/>
      <c r="AF161"/>
      <c r="AG161"/>
      <c r="AH161"/>
      <c r="AI161"/>
      <c r="AJ161"/>
      <c r="AK161"/>
      <c r="AL161"/>
      <c r="AM161"/>
      <c r="AN161"/>
      <c r="AO161"/>
      <c r="AP161"/>
      <c r="AQ161"/>
      <c r="AR161"/>
      <c r="AS161"/>
      <c r="AT161"/>
      <c r="AU161"/>
      <c r="AV161"/>
      <c r="AW161"/>
      <c r="AX161"/>
      <c r="AY161"/>
      <c r="AZ161"/>
      <c r="BA161"/>
      <c r="BB161"/>
      <c r="BC161"/>
      <c r="BD161"/>
      <c r="BE161"/>
      <c r="BF161"/>
      <c r="BG161"/>
      <c r="BH161"/>
      <c r="BI161"/>
      <c r="BJ161"/>
      <c r="BK161"/>
      <c r="BL161"/>
      <c r="BM161"/>
      <c r="BN161"/>
      <c r="BO161"/>
      <c r="BP161"/>
      <c r="BQ161"/>
      <c r="BR161"/>
      <c r="BS161"/>
      <c r="BT161"/>
      <c r="BU161"/>
      <c r="BV161"/>
      <c r="BW161"/>
      <c r="BX161"/>
      <c r="BY161"/>
      <c r="BZ161"/>
      <c r="CA161"/>
      <c r="CB161"/>
      <c r="CC161"/>
      <c r="CD161"/>
      <c r="CE161"/>
      <c r="CF161"/>
      <c r="CG161"/>
      <c r="CH161"/>
      <c r="CI161"/>
      <c r="CJ161"/>
      <c r="CK161"/>
      <c r="CL161"/>
      <c r="CM161"/>
      <c r="CN161"/>
      <c r="CO161"/>
      <c r="CP161"/>
      <c r="CQ161"/>
      <c r="CR161"/>
      <c r="CS161"/>
      <c r="CT161"/>
      <c r="CU161"/>
      <c r="CV161"/>
      <c r="CW161"/>
      <c r="CX161"/>
      <c r="CY161"/>
      <c r="CZ161"/>
      <c r="DA161"/>
      <c r="DB161"/>
      <c r="DC161"/>
      <c r="DD161"/>
      <c r="DE161"/>
      <c r="DF161"/>
      <c r="DG161"/>
      <c r="DH161"/>
      <c r="DI161"/>
      <c r="DJ161"/>
      <c r="DK161"/>
      <c r="DL161"/>
      <c r="DM161"/>
      <c r="DN161"/>
      <c r="DO161"/>
      <c r="DP161"/>
      <c r="DQ161"/>
      <c r="DR161"/>
      <c r="DS161"/>
      <c r="DT161"/>
      <c r="DU161"/>
      <c r="DV161"/>
      <c r="DW161"/>
      <c r="DX161"/>
      <c r="DY161"/>
      <c r="DZ161"/>
      <c r="EA161"/>
      <c r="EB161"/>
      <c r="EC161"/>
      <c r="ED161"/>
      <c r="EE161"/>
      <c r="EF161"/>
      <c r="EG161"/>
      <c r="EH161"/>
      <c r="EI161"/>
      <c r="EJ161"/>
      <c r="EK161"/>
      <c r="EL161"/>
      <c r="EM161"/>
      <c r="EN161"/>
      <c r="EO161"/>
      <c r="EP161"/>
      <c r="EQ161"/>
      <c r="ER161"/>
      <c r="ES161"/>
      <c r="ET161"/>
      <c r="EU161"/>
      <c r="EV161"/>
      <c r="EW161"/>
      <c r="EX161"/>
      <c r="EY161"/>
      <c r="EZ161"/>
      <c r="FA161"/>
      <c r="FB161"/>
      <c r="FC161"/>
      <c r="FD161"/>
      <c r="FE161"/>
      <c r="FF161"/>
      <c r="FG161"/>
      <c r="FH161"/>
      <c r="FI161"/>
      <c r="FJ161"/>
      <c r="FK161"/>
      <c r="FL161"/>
      <c r="FM161"/>
      <c r="FN161"/>
      <c r="FO161"/>
      <c r="FP161"/>
      <c r="FQ161"/>
      <c r="FR161"/>
      <c r="FS161"/>
      <c r="FT161"/>
      <c r="FU161"/>
      <c r="FV161"/>
      <c r="FW161"/>
      <c r="FX161"/>
      <c r="FY161"/>
      <c r="FZ161"/>
      <c r="GA161"/>
      <c r="GB161"/>
      <c r="GC161"/>
      <c r="GD161"/>
      <c r="GE161"/>
      <c r="GF161"/>
      <c r="GG161"/>
      <c r="GH161"/>
      <c r="GI161"/>
      <c r="GJ161"/>
      <c r="GK161"/>
    </row>
    <row r="162" spans="1:193" ht="18" hidden="1" customHeight="1" x14ac:dyDescent="0.25">
      <c r="A162" s="8" t="s">
        <v>164</v>
      </c>
      <c r="B162" s="8">
        <v>1483</v>
      </c>
      <c r="C162" s="8">
        <v>24</v>
      </c>
      <c r="D162" s="8">
        <v>925</v>
      </c>
      <c r="E162" s="8">
        <v>534</v>
      </c>
      <c r="F162" s="8">
        <v>587154</v>
      </c>
      <c r="G162" s="8" t="s">
        <v>199</v>
      </c>
      <c r="H162" s="1">
        <v>43903</v>
      </c>
      <c r="I162" s="14">
        <f t="shared" si="6"/>
        <v>1.6183412002697236E-2</v>
      </c>
      <c r="J162" s="14">
        <f t="shared" si="7"/>
        <v>0.62373567093728932</v>
      </c>
      <c r="K162" s="17">
        <f t="shared" si="8"/>
        <v>2.5257428204525558E-3</v>
      </c>
      <c r="L162" s="8" t="str" cm="1">
        <f t="array" ref="L162">_xlfn.IFS(I162&gt;5%,"High Risk",AND(I162&gt;2%,I162&lt;5%),"Modrate Risk",I162&lt;2%, "Low Risk")</f>
        <v>Low Risk</v>
      </c>
      <c r="N162"/>
      <c r="O162"/>
      <c r="P162"/>
      <c r="Q162"/>
      <c r="R162"/>
      <c r="S162"/>
      <c r="T162"/>
      <c r="U162"/>
      <c r="V162"/>
      <c r="W162"/>
      <c r="X162"/>
      <c r="Y162"/>
      <c r="Z162"/>
      <c r="AA162"/>
      <c r="AB162"/>
      <c r="AC162"/>
      <c r="AD162"/>
      <c r="AE162"/>
      <c r="AF162"/>
      <c r="AG162"/>
      <c r="AH162"/>
      <c r="AI162"/>
      <c r="AJ162"/>
      <c r="AK162"/>
      <c r="AL162"/>
      <c r="AM162"/>
      <c r="AN162"/>
      <c r="AO162"/>
      <c r="AP162"/>
      <c r="AQ162"/>
      <c r="AR162"/>
      <c r="AS162"/>
      <c r="AT162"/>
      <c r="AU162"/>
      <c r="AV162"/>
      <c r="AW162"/>
      <c r="AX162"/>
      <c r="AY162"/>
      <c r="AZ162"/>
      <c r="BA162"/>
      <c r="BB162"/>
      <c r="BC162"/>
      <c r="BD162"/>
      <c r="BE162"/>
      <c r="BF162"/>
      <c r="BG162"/>
      <c r="BH162"/>
      <c r="BI162"/>
      <c r="BJ162"/>
      <c r="BK162"/>
      <c r="BL162"/>
      <c r="BM162"/>
      <c r="BN162"/>
      <c r="BO162"/>
      <c r="BP162"/>
      <c r="BQ162"/>
      <c r="BR162"/>
      <c r="BS162"/>
      <c r="BT162"/>
      <c r="BU162"/>
      <c r="BV162"/>
      <c r="BW162"/>
      <c r="BX162"/>
      <c r="BY162"/>
      <c r="BZ162"/>
      <c r="CA162"/>
      <c r="CB162"/>
      <c r="CC162"/>
      <c r="CD162"/>
      <c r="CE162"/>
      <c r="CF162"/>
      <c r="CG162"/>
      <c r="CH162"/>
      <c r="CI162"/>
      <c r="CJ162"/>
      <c r="CK162"/>
      <c r="CL162"/>
      <c r="CM162"/>
      <c r="CN162"/>
      <c r="CO162"/>
      <c r="CP162"/>
      <c r="CQ162"/>
      <c r="CR162"/>
      <c r="CS162"/>
      <c r="CT162"/>
      <c r="CU162"/>
      <c r="CV162"/>
      <c r="CW162"/>
      <c r="CX162"/>
      <c r="CY162"/>
      <c r="CZ162"/>
      <c r="DA162"/>
      <c r="DB162"/>
      <c r="DC162"/>
      <c r="DD162"/>
      <c r="DE162"/>
      <c r="DF162"/>
      <c r="DG162"/>
      <c r="DH162"/>
      <c r="DI162"/>
      <c r="DJ162"/>
      <c r="DK162"/>
      <c r="DL162"/>
      <c r="DM162"/>
      <c r="DN162"/>
      <c r="DO162"/>
      <c r="DP162"/>
      <c r="DQ162"/>
      <c r="DR162"/>
      <c r="DS162"/>
      <c r="DT162"/>
      <c r="DU162"/>
      <c r="DV162"/>
      <c r="DW162"/>
      <c r="DX162"/>
      <c r="DY162"/>
      <c r="DZ162"/>
      <c r="EA162"/>
      <c r="EB162"/>
      <c r="EC162"/>
      <c r="ED162"/>
      <c r="EE162"/>
      <c r="EF162"/>
      <c r="EG162"/>
      <c r="EH162"/>
      <c r="EI162"/>
      <c r="EJ162"/>
      <c r="EK162"/>
      <c r="EL162"/>
      <c r="EM162"/>
      <c r="EN162"/>
      <c r="EO162"/>
      <c r="EP162"/>
      <c r="EQ162"/>
      <c r="ER162"/>
      <c r="ES162"/>
      <c r="ET162"/>
      <c r="EU162"/>
      <c r="EV162"/>
      <c r="EW162"/>
      <c r="EX162"/>
      <c r="EY162"/>
      <c r="EZ162"/>
      <c r="FA162"/>
      <c r="FB162"/>
      <c r="FC162"/>
      <c r="FD162"/>
      <c r="FE162"/>
      <c r="FF162"/>
      <c r="FG162"/>
      <c r="FH162"/>
      <c r="FI162"/>
      <c r="FJ162"/>
      <c r="FK162"/>
      <c r="FL162"/>
      <c r="FM162"/>
      <c r="FN162"/>
      <c r="FO162"/>
      <c r="FP162"/>
      <c r="FQ162"/>
      <c r="FR162"/>
      <c r="FS162"/>
      <c r="FT162"/>
      <c r="FU162"/>
      <c r="FV162"/>
      <c r="FW162"/>
      <c r="FX162"/>
      <c r="FY162"/>
      <c r="FZ162"/>
      <c r="GA162"/>
      <c r="GB162"/>
      <c r="GC162"/>
      <c r="GD162"/>
      <c r="GE162"/>
      <c r="GF162"/>
      <c r="GG162"/>
      <c r="GH162"/>
      <c r="GI162"/>
      <c r="GJ162"/>
      <c r="GK162"/>
    </row>
    <row r="163" spans="1:193" ht="18" hidden="1" customHeight="1" x14ac:dyDescent="0.25">
      <c r="A163" s="9" t="s">
        <v>165</v>
      </c>
      <c r="B163" s="9">
        <v>79395</v>
      </c>
      <c r="C163" s="9">
        <v>5700</v>
      </c>
      <c r="D163" s="9">
        <v>0</v>
      </c>
      <c r="E163" s="9">
        <v>73695</v>
      </c>
      <c r="F163" s="9">
        <v>10105596</v>
      </c>
      <c r="G163" s="9" t="s">
        <v>196</v>
      </c>
      <c r="H163" s="10">
        <v>43861</v>
      </c>
      <c r="I163" s="15">
        <f t="shared" si="6"/>
        <v>7.1792934063857922E-2</v>
      </c>
      <c r="J163" s="15">
        <f t="shared" si="7"/>
        <v>0</v>
      </c>
      <c r="K163" s="18">
        <f t="shared" si="8"/>
        <v>7.8565381002763217E-3</v>
      </c>
      <c r="L163" s="9" t="str" cm="1">
        <f t="array" ref="L163">_xlfn.IFS(I163&gt;5%,"High Risk",AND(I163&gt;2%,I163&lt;5%),"Modrate Risk",I163&lt;2%, "Low Risk")</f>
        <v>High Risk</v>
      </c>
      <c r="N163"/>
      <c r="O163"/>
      <c r="P163"/>
      <c r="Q163"/>
      <c r="R163"/>
      <c r="S163"/>
      <c r="T163"/>
      <c r="U163"/>
      <c r="V163"/>
      <c r="W163"/>
      <c r="X163"/>
      <c r="Y163"/>
      <c r="Z163"/>
      <c r="AA163"/>
      <c r="AB163"/>
      <c r="AC163"/>
      <c r="AD163"/>
      <c r="AE163"/>
      <c r="AF163"/>
      <c r="AG163"/>
      <c r="AH163"/>
      <c r="AI163"/>
      <c r="AJ163"/>
      <c r="AK163"/>
      <c r="AL163"/>
      <c r="AM163"/>
      <c r="AN163"/>
      <c r="AO163"/>
      <c r="AP163"/>
      <c r="AQ163"/>
      <c r="AR163"/>
      <c r="AS163"/>
      <c r="AT163"/>
      <c r="AU163"/>
      <c r="AV163"/>
      <c r="AW163"/>
      <c r="AX163"/>
      <c r="AY163"/>
      <c r="AZ163"/>
      <c r="BA163"/>
      <c r="BB163"/>
      <c r="BC163"/>
      <c r="BD163"/>
      <c r="BE163"/>
      <c r="BF163"/>
      <c r="BG163"/>
      <c r="BH163"/>
      <c r="BI163"/>
      <c r="BJ163"/>
      <c r="BK163"/>
      <c r="BL163"/>
      <c r="BM163"/>
      <c r="BN163"/>
      <c r="BO163"/>
      <c r="BP163"/>
      <c r="BQ163"/>
      <c r="BR163"/>
      <c r="BS163"/>
      <c r="BT163"/>
      <c r="BU163"/>
      <c r="BV163"/>
      <c r="BW163"/>
      <c r="BX163"/>
      <c r="BY163"/>
      <c r="BZ163"/>
      <c r="CA163"/>
      <c r="CB163"/>
      <c r="CC163"/>
      <c r="CD163"/>
      <c r="CE163"/>
      <c r="CF163"/>
      <c r="CG163"/>
      <c r="CH163"/>
      <c r="CI163"/>
      <c r="CJ163"/>
      <c r="CK163"/>
      <c r="CL163"/>
      <c r="CM163"/>
      <c r="CN163"/>
      <c r="CO163"/>
      <c r="CP163"/>
      <c r="CQ163"/>
      <c r="CR163"/>
      <c r="CS163"/>
      <c r="CT163"/>
      <c r="CU163"/>
      <c r="CV163"/>
      <c r="CW163"/>
      <c r="CX163"/>
      <c r="CY163"/>
      <c r="CZ163"/>
      <c r="DA163"/>
      <c r="DB163"/>
      <c r="DC163"/>
      <c r="DD163"/>
      <c r="DE163"/>
      <c r="DF163"/>
      <c r="DG163"/>
      <c r="DH163"/>
      <c r="DI163"/>
      <c r="DJ163"/>
      <c r="DK163"/>
      <c r="DL163"/>
      <c r="DM163"/>
      <c r="DN163"/>
      <c r="DO163"/>
      <c r="DP163"/>
      <c r="DQ163"/>
      <c r="DR163"/>
      <c r="DS163"/>
      <c r="DT163"/>
      <c r="DU163"/>
      <c r="DV163"/>
      <c r="DW163"/>
      <c r="DX163"/>
      <c r="DY163"/>
      <c r="DZ163"/>
      <c r="EA163"/>
      <c r="EB163"/>
      <c r="EC163"/>
      <c r="ED163"/>
      <c r="EE163"/>
      <c r="EF163"/>
      <c r="EG163"/>
      <c r="EH163"/>
      <c r="EI163"/>
      <c r="EJ163"/>
      <c r="EK163"/>
      <c r="EL163"/>
      <c r="EM163"/>
      <c r="EN163"/>
      <c r="EO163"/>
      <c r="EP163"/>
      <c r="EQ163"/>
      <c r="ER163"/>
      <c r="ES163"/>
      <c r="ET163"/>
      <c r="EU163"/>
      <c r="EV163"/>
      <c r="EW163"/>
      <c r="EX163"/>
      <c r="EY163"/>
      <c r="EZ163"/>
      <c r="FA163"/>
      <c r="FB163"/>
      <c r="FC163"/>
      <c r="FD163"/>
      <c r="FE163"/>
      <c r="FF163"/>
      <c r="FG163"/>
      <c r="FH163"/>
      <c r="FI163"/>
      <c r="FJ163"/>
      <c r="FK163"/>
      <c r="FL163"/>
      <c r="FM163"/>
      <c r="FN163"/>
      <c r="FO163"/>
      <c r="FP163"/>
      <c r="FQ163"/>
      <c r="FR163"/>
      <c r="FS163"/>
      <c r="FT163"/>
      <c r="FU163"/>
      <c r="FV163"/>
      <c r="FW163"/>
      <c r="FX163"/>
      <c r="FY163"/>
      <c r="FZ163"/>
      <c r="GA163"/>
      <c r="GB163"/>
      <c r="GC163"/>
      <c r="GD163"/>
      <c r="GE163"/>
      <c r="GF163"/>
      <c r="GG163"/>
      <c r="GH163"/>
      <c r="GI163"/>
      <c r="GJ163"/>
      <c r="GK163"/>
    </row>
    <row r="164" spans="1:193" ht="18" hidden="1" customHeight="1" x14ac:dyDescent="0.25">
      <c r="A164" s="8" t="s">
        <v>166</v>
      </c>
      <c r="B164" s="8">
        <v>34477</v>
      </c>
      <c r="C164" s="8">
        <v>1978</v>
      </c>
      <c r="D164" s="8">
        <v>30900</v>
      </c>
      <c r="E164" s="8">
        <v>1599</v>
      </c>
      <c r="F164" s="8">
        <v>8660952</v>
      </c>
      <c r="G164" s="8" t="s">
        <v>196</v>
      </c>
      <c r="H164" s="1">
        <v>43886</v>
      </c>
      <c r="I164" s="14">
        <f t="shared" si="6"/>
        <v>5.7371581054036024E-2</v>
      </c>
      <c r="J164" s="14">
        <f t="shared" si="7"/>
        <v>0.89624967369550712</v>
      </c>
      <c r="K164" s="17">
        <f t="shared" si="8"/>
        <v>3.9807402234765879E-3</v>
      </c>
      <c r="L164" s="8" t="str" cm="1">
        <f t="array" ref="L164">_xlfn.IFS(I164&gt;5%,"High Risk",AND(I164&gt;2%,I164&lt;5%),"Modrate Risk",I164&lt;2%, "Low Risk")</f>
        <v>High Risk</v>
      </c>
      <c r="N164"/>
      <c r="O164"/>
      <c r="P164"/>
      <c r="Q164"/>
      <c r="R164"/>
      <c r="S164"/>
      <c r="T164"/>
      <c r="U164"/>
      <c r="V164"/>
      <c r="W164"/>
      <c r="X164"/>
      <c r="Y164"/>
      <c r="Z164"/>
      <c r="AA164"/>
      <c r="AB164"/>
      <c r="AC164"/>
      <c r="AD164"/>
      <c r="AE164"/>
      <c r="AF164"/>
      <c r="AG164"/>
      <c r="AH164"/>
      <c r="AI164"/>
      <c r="AJ164"/>
      <c r="AK164"/>
      <c r="AL164"/>
      <c r="AM164"/>
      <c r="AN164"/>
      <c r="AO164"/>
      <c r="AP164"/>
      <c r="AQ164"/>
      <c r="AR164"/>
      <c r="AS164"/>
      <c r="AT164"/>
      <c r="AU164"/>
      <c r="AV164"/>
      <c r="AW164"/>
      <c r="AX164"/>
      <c r="AY164"/>
      <c r="AZ164"/>
      <c r="BA164"/>
      <c r="BB164"/>
      <c r="BC164"/>
      <c r="BD164"/>
      <c r="BE164"/>
      <c r="BF164"/>
      <c r="BG164"/>
      <c r="BH164"/>
      <c r="BI164"/>
      <c r="BJ164"/>
      <c r="BK164"/>
      <c r="BL164"/>
      <c r="BM164"/>
      <c r="BN164"/>
      <c r="BO164"/>
      <c r="BP164"/>
      <c r="BQ164"/>
      <c r="BR164"/>
      <c r="BS164"/>
      <c r="BT164"/>
      <c r="BU164"/>
      <c r="BV164"/>
      <c r="BW164"/>
      <c r="BX164"/>
      <c r="BY164"/>
      <c r="BZ164"/>
      <c r="CA164"/>
      <c r="CB164"/>
      <c r="CC164"/>
      <c r="CD164"/>
      <c r="CE164"/>
      <c r="CF164"/>
      <c r="CG164"/>
      <c r="CH164"/>
      <c r="CI164"/>
      <c r="CJ164"/>
      <c r="CK164"/>
      <c r="CL164"/>
      <c r="CM164"/>
      <c r="CN164"/>
      <c r="CO164"/>
      <c r="CP164"/>
      <c r="CQ164"/>
      <c r="CR164"/>
      <c r="CS164"/>
      <c r="CT164"/>
      <c r="CU164"/>
      <c r="CV164"/>
      <c r="CW164"/>
      <c r="CX164"/>
      <c r="CY164"/>
      <c r="CZ164"/>
      <c r="DA164"/>
      <c r="DB164"/>
      <c r="DC164"/>
      <c r="DD164"/>
      <c r="DE164"/>
      <c r="DF164"/>
      <c r="DG164"/>
      <c r="DH164"/>
      <c r="DI164"/>
      <c r="DJ164"/>
      <c r="DK164"/>
      <c r="DL164"/>
      <c r="DM164"/>
      <c r="DN164"/>
      <c r="DO164"/>
      <c r="DP164"/>
      <c r="DQ164"/>
      <c r="DR164"/>
      <c r="DS164"/>
      <c r="DT164"/>
      <c r="DU164"/>
      <c r="DV164"/>
      <c r="DW164"/>
      <c r="DX164"/>
      <c r="DY164"/>
      <c r="DZ164"/>
      <c r="EA164"/>
      <c r="EB164"/>
      <c r="EC164"/>
      <c r="ED164"/>
      <c r="EE164"/>
      <c r="EF164"/>
      <c r="EG164"/>
      <c r="EH164"/>
      <c r="EI164"/>
      <c r="EJ164"/>
      <c r="EK164"/>
      <c r="EL164"/>
      <c r="EM164"/>
      <c r="EN164"/>
      <c r="EO164"/>
      <c r="EP164"/>
      <c r="EQ164"/>
      <c r="ER164"/>
      <c r="ES164"/>
      <c r="ET164"/>
      <c r="EU164"/>
      <c r="EV164"/>
      <c r="EW164"/>
      <c r="EX164"/>
      <c r="EY164"/>
      <c r="EZ164"/>
      <c r="FA164"/>
      <c r="FB164"/>
      <c r="FC164"/>
      <c r="FD164"/>
      <c r="FE164"/>
      <c r="FF164"/>
      <c r="FG164"/>
      <c r="FH164"/>
      <c r="FI164"/>
      <c r="FJ164"/>
      <c r="FK164"/>
      <c r="FL164"/>
      <c r="FM164"/>
      <c r="FN164"/>
      <c r="FO164"/>
      <c r="FP164"/>
      <c r="FQ164"/>
      <c r="FR164"/>
      <c r="FS164"/>
      <c r="FT164"/>
      <c r="FU164"/>
      <c r="FV164"/>
      <c r="FW164"/>
      <c r="FX164"/>
      <c r="FY164"/>
      <c r="FZ164"/>
      <c r="GA164"/>
      <c r="GB164"/>
      <c r="GC164"/>
      <c r="GD164"/>
      <c r="GE164"/>
      <c r="GF164"/>
      <c r="GG164"/>
      <c r="GH164"/>
      <c r="GI164"/>
      <c r="GJ164"/>
      <c r="GK164"/>
    </row>
    <row r="165" spans="1:193" ht="18" hidden="1" customHeight="1" x14ac:dyDescent="0.25">
      <c r="A165" s="9" t="s">
        <v>167</v>
      </c>
      <c r="B165" s="9">
        <v>674</v>
      </c>
      <c r="C165" s="9">
        <v>40</v>
      </c>
      <c r="D165" s="9">
        <v>0</v>
      </c>
      <c r="E165" s="9">
        <v>634</v>
      </c>
      <c r="F165" s="9">
        <v>17539600</v>
      </c>
      <c r="G165" s="9" t="s">
        <v>195</v>
      </c>
      <c r="H165" s="10">
        <v>43912</v>
      </c>
      <c r="I165" s="15">
        <f t="shared" si="6"/>
        <v>5.9347181008902079E-2</v>
      </c>
      <c r="J165" s="15">
        <f t="shared" si="7"/>
        <v>0</v>
      </c>
      <c r="K165" s="18">
        <f t="shared" si="8"/>
        <v>3.8427330155761816E-5</v>
      </c>
      <c r="L165" s="9" t="str" cm="1">
        <f t="array" ref="L165">_xlfn.IFS(I165&gt;5%,"High Risk",AND(I165&gt;2%,I165&lt;5%),"Modrate Risk",I165&lt;2%, "Low Risk")</f>
        <v>High Risk</v>
      </c>
      <c r="N165"/>
      <c r="O165"/>
      <c r="P165"/>
      <c r="Q165"/>
      <c r="R165"/>
      <c r="S165"/>
      <c r="T165"/>
      <c r="U165"/>
      <c r="V165"/>
      <c r="W165"/>
      <c r="X165"/>
      <c r="Y165"/>
      <c r="Z165"/>
      <c r="AA165"/>
      <c r="AB165"/>
      <c r="AC165"/>
      <c r="AD165"/>
      <c r="AE165"/>
      <c r="AF165"/>
      <c r="AG165"/>
      <c r="AH165"/>
      <c r="AI165"/>
      <c r="AJ165"/>
      <c r="AK165"/>
      <c r="AL165"/>
      <c r="AM165"/>
      <c r="AN165"/>
      <c r="AO165"/>
      <c r="AP165"/>
      <c r="AQ165"/>
      <c r="AR165"/>
      <c r="AS165"/>
      <c r="AT165"/>
      <c r="AU165"/>
      <c r="AV165"/>
      <c r="AW165"/>
      <c r="AX165"/>
      <c r="AY165"/>
      <c r="AZ165"/>
      <c r="BA165"/>
      <c r="BB165"/>
      <c r="BC165"/>
      <c r="BD165"/>
      <c r="BE165"/>
      <c r="BF165"/>
      <c r="BG165"/>
      <c r="BH165"/>
      <c r="BI165"/>
      <c r="BJ165"/>
      <c r="BK165"/>
      <c r="BL165"/>
      <c r="BM165"/>
      <c r="BN165"/>
      <c r="BO165"/>
      <c r="BP165"/>
      <c r="BQ165"/>
      <c r="BR165"/>
      <c r="BS165"/>
      <c r="BT165"/>
      <c r="BU165"/>
      <c r="BV165"/>
      <c r="BW165"/>
      <c r="BX165"/>
      <c r="BY165"/>
      <c r="BZ165"/>
      <c r="CA165"/>
      <c r="CB165"/>
      <c r="CC165"/>
      <c r="CD165"/>
      <c r="CE165"/>
      <c r="CF165"/>
      <c r="CG165"/>
      <c r="CH165"/>
      <c r="CI165"/>
      <c r="CJ165"/>
      <c r="CK165"/>
      <c r="CL165"/>
      <c r="CM165"/>
      <c r="CN165"/>
      <c r="CO165"/>
      <c r="CP165"/>
      <c r="CQ165"/>
      <c r="CR165"/>
      <c r="CS165"/>
      <c r="CT165"/>
      <c r="CU165"/>
      <c r="CV165"/>
      <c r="CW165"/>
      <c r="CX165"/>
      <c r="CY165"/>
      <c r="CZ165"/>
      <c r="DA165"/>
      <c r="DB165"/>
      <c r="DC165"/>
      <c r="DD165"/>
      <c r="DE165"/>
      <c r="DF165"/>
      <c r="DG165"/>
      <c r="DH165"/>
      <c r="DI165"/>
      <c r="DJ165"/>
      <c r="DK165"/>
      <c r="DL165"/>
      <c r="DM165"/>
      <c r="DN165"/>
      <c r="DO165"/>
      <c r="DP165"/>
      <c r="DQ165"/>
      <c r="DR165"/>
      <c r="DS165"/>
      <c r="DT165"/>
      <c r="DU165"/>
      <c r="DV165"/>
      <c r="DW165"/>
      <c r="DX165"/>
      <c r="DY165"/>
      <c r="DZ165"/>
      <c r="EA165"/>
      <c r="EB165"/>
      <c r="EC165"/>
      <c r="ED165"/>
      <c r="EE165"/>
      <c r="EF165"/>
      <c r="EG165"/>
      <c r="EH165"/>
      <c r="EI165"/>
      <c r="EJ165"/>
      <c r="EK165"/>
      <c r="EL165"/>
      <c r="EM165"/>
      <c r="EN165"/>
      <c r="EO165"/>
      <c r="EP165"/>
      <c r="EQ165"/>
      <c r="ER165"/>
      <c r="ES165"/>
      <c r="ET165"/>
      <c r="EU165"/>
      <c r="EV165"/>
      <c r="EW165"/>
      <c r="EX165"/>
      <c r="EY165"/>
      <c r="EZ165"/>
      <c r="FA165"/>
      <c r="FB165"/>
      <c r="FC165"/>
      <c r="FD165"/>
      <c r="FE165"/>
      <c r="FF165"/>
      <c r="FG165"/>
      <c r="FH165"/>
      <c r="FI165"/>
      <c r="FJ165"/>
      <c r="FK165"/>
      <c r="FL165"/>
      <c r="FM165"/>
      <c r="FN165"/>
      <c r="FO165"/>
      <c r="FP165"/>
      <c r="FQ165"/>
      <c r="FR165"/>
      <c r="FS165"/>
      <c r="FT165"/>
      <c r="FU165"/>
      <c r="FV165"/>
      <c r="FW165"/>
      <c r="FX165"/>
      <c r="FY165"/>
      <c r="FZ165"/>
      <c r="GA165"/>
      <c r="GB165"/>
      <c r="GC165"/>
      <c r="GD165"/>
      <c r="GE165"/>
      <c r="GF165"/>
      <c r="GG165"/>
      <c r="GH165"/>
      <c r="GI165"/>
      <c r="GJ165"/>
      <c r="GK165"/>
    </row>
    <row r="166" spans="1:193" ht="18" hidden="1" customHeight="1" x14ac:dyDescent="0.25">
      <c r="A166" s="8" t="s">
        <v>190</v>
      </c>
      <c r="B166" s="8">
        <v>462</v>
      </c>
      <c r="C166" s="8">
        <v>7</v>
      </c>
      <c r="D166" s="8">
        <v>440</v>
      </c>
      <c r="E166" s="8">
        <v>15</v>
      </c>
      <c r="F166" s="8">
        <v>23821199</v>
      </c>
      <c r="G166" s="8" t="s">
        <v>195</v>
      </c>
      <c r="H166" s="1">
        <v>43851</v>
      </c>
      <c r="I166" s="14">
        <f t="shared" si="6"/>
        <v>1.5151515151515152E-2</v>
      </c>
      <c r="J166" s="14">
        <f t="shared" si="7"/>
        <v>0.95238095238095233</v>
      </c>
      <c r="K166" s="17">
        <f t="shared" si="8"/>
        <v>1.9394489756791838E-5</v>
      </c>
      <c r="L166" s="8" t="str" cm="1">
        <f t="array" ref="L166">_xlfn.IFS(I166&gt;5%,"High Risk",AND(I166&gt;2%,I166&lt;5%),"Modrate Risk",I166&lt;2%, "Low Risk")</f>
        <v>Low Risk</v>
      </c>
      <c r="N166"/>
      <c r="O166"/>
      <c r="P166"/>
      <c r="Q166"/>
      <c r="R166"/>
      <c r="S166"/>
      <c r="T166"/>
      <c r="U166"/>
      <c r="V166"/>
      <c r="W166"/>
      <c r="X166"/>
      <c r="Y166"/>
      <c r="Z166"/>
      <c r="AA166"/>
      <c r="AB166"/>
      <c r="AC166"/>
      <c r="AD166"/>
      <c r="AE166"/>
      <c r="AF166"/>
      <c r="AG166"/>
      <c r="AH166"/>
      <c r="AI166"/>
      <c r="AJ166"/>
      <c r="AK166"/>
      <c r="AL166"/>
      <c r="AM166"/>
      <c r="AN166"/>
      <c r="AO166"/>
      <c r="AP166"/>
      <c r="AQ166"/>
      <c r="AR166"/>
      <c r="AS166"/>
      <c r="AT166"/>
      <c r="AU166"/>
      <c r="AV166"/>
      <c r="AW166"/>
      <c r="AX166"/>
      <c r="AY166"/>
      <c r="AZ166"/>
      <c r="BA166"/>
      <c r="BB166"/>
      <c r="BC166"/>
      <c r="BD166"/>
      <c r="BE166"/>
      <c r="BF166"/>
      <c r="BG166"/>
      <c r="BH166"/>
      <c r="BI166"/>
      <c r="BJ166"/>
      <c r="BK166"/>
      <c r="BL166"/>
      <c r="BM166"/>
      <c r="BN166"/>
      <c r="BO166"/>
      <c r="BP166"/>
      <c r="BQ166"/>
      <c r="BR166"/>
      <c r="BS166"/>
      <c r="BT166"/>
      <c r="BU166"/>
      <c r="BV166"/>
      <c r="BW166"/>
      <c r="BX166"/>
      <c r="BY166"/>
      <c r="BZ166"/>
      <c r="CA166"/>
      <c r="CB166"/>
      <c r="CC166"/>
      <c r="CD166"/>
      <c r="CE166"/>
      <c r="CF166"/>
      <c r="CG166"/>
      <c r="CH166"/>
      <c r="CI166"/>
      <c r="CJ166"/>
      <c r="CK166"/>
      <c r="CL166"/>
      <c r="CM166"/>
      <c r="CN166"/>
      <c r="CO166"/>
      <c r="CP166"/>
      <c r="CQ166"/>
      <c r="CR166"/>
      <c r="CS166"/>
      <c r="CT166"/>
      <c r="CU166"/>
      <c r="CV166"/>
      <c r="CW166"/>
      <c r="CX166"/>
      <c r="CY166"/>
      <c r="CZ166"/>
      <c r="DA166"/>
      <c r="DB166"/>
      <c r="DC166"/>
      <c r="DD166"/>
      <c r="DE166"/>
      <c r="DF166"/>
      <c r="DG166"/>
      <c r="DH166"/>
      <c r="DI166"/>
      <c r="DJ166"/>
      <c r="DK166"/>
      <c r="DL166"/>
      <c r="DM166"/>
      <c r="DN166"/>
      <c r="DO166"/>
      <c r="DP166"/>
      <c r="DQ166"/>
      <c r="DR166"/>
      <c r="DS166"/>
      <c r="DT166"/>
      <c r="DU166"/>
      <c r="DV166"/>
      <c r="DW166"/>
      <c r="DX166"/>
      <c r="DY166"/>
      <c r="DZ166"/>
      <c r="EA166"/>
      <c r="EB166"/>
      <c r="EC166"/>
      <c r="ED166"/>
      <c r="EE166"/>
      <c r="EF166"/>
      <c r="EG166"/>
      <c r="EH166"/>
      <c r="EI166"/>
      <c r="EJ166"/>
      <c r="EK166"/>
      <c r="EL166"/>
      <c r="EM166"/>
      <c r="EN166"/>
      <c r="EO166"/>
      <c r="EP166"/>
      <c r="EQ166"/>
      <c r="ER166"/>
      <c r="ES166"/>
      <c r="ET166"/>
      <c r="EU166"/>
      <c r="EV166"/>
      <c r="EW166"/>
      <c r="EX166"/>
      <c r="EY166"/>
      <c r="EZ166"/>
      <c r="FA166"/>
      <c r="FB166"/>
      <c r="FC166"/>
      <c r="FD166"/>
      <c r="FE166"/>
      <c r="FF166"/>
      <c r="FG166"/>
      <c r="FH166"/>
      <c r="FI166"/>
      <c r="FJ166"/>
      <c r="FK166"/>
      <c r="FL166"/>
      <c r="FM166"/>
      <c r="FN166"/>
      <c r="FO166"/>
      <c r="FP166"/>
      <c r="FQ166"/>
      <c r="FR166"/>
      <c r="FS166"/>
      <c r="FT166"/>
      <c r="FU166"/>
      <c r="FV166"/>
      <c r="FW166"/>
      <c r="FX166"/>
      <c r="FY166"/>
      <c r="FZ166"/>
      <c r="GA166"/>
      <c r="GB166"/>
      <c r="GC166"/>
      <c r="GD166"/>
      <c r="GE166"/>
      <c r="GF166"/>
      <c r="GG166"/>
      <c r="GH166"/>
      <c r="GI166"/>
      <c r="GJ166"/>
      <c r="GK166"/>
    </row>
    <row r="167" spans="1:193" ht="18" hidden="1" customHeight="1" x14ac:dyDescent="0.25">
      <c r="A167" s="9" t="s">
        <v>168</v>
      </c>
      <c r="B167" s="9">
        <v>7235</v>
      </c>
      <c r="C167" s="9">
        <v>60</v>
      </c>
      <c r="D167" s="9">
        <v>6028</v>
      </c>
      <c r="E167" s="9">
        <v>1147</v>
      </c>
      <c r="F167" s="9">
        <v>9557468</v>
      </c>
      <c r="G167" s="9" t="s">
        <v>195</v>
      </c>
      <c r="H167" s="10">
        <v>43951</v>
      </c>
      <c r="I167" s="15">
        <f t="shared" si="6"/>
        <v>8.2930200414651004E-3</v>
      </c>
      <c r="J167" s="15">
        <f t="shared" si="7"/>
        <v>0.83317208016586042</v>
      </c>
      <c r="K167" s="18">
        <f t="shared" si="8"/>
        <v>7.569996572313922E-4</v>
      </c>
      <c r="L167" s="9" t="str" cm="1">
        <f t="array" ref="L167">_xlfn.IFS(I167&gt;5%,"High Risk",AND(I167&gt;2%,I167&lt;5%),"Modrate Risk",I167&lt;2%, "Low Risk")</f>
        <v>Low Risk</v>
      </c>
      <c r="N167"/>
      <c r="O167"/>
      <c r="P167"/>
      <c r="Q167"/>
      <c r="R167"/>
      <c r="S167"/>
      <c r="T167"/>
      <c r="U167"/>
      <c r="V167"/>
      <c r="W167"/>
      <c r="X167"/>
      <c r="Y167"/>
      <c r="Z167"/>
      <c r="AA167"/>
      <c r="AB167"/>
      <c r="AC167"/>
      <c r="AD167"/>
      <c r="AE167"/>
      <c r="AF167"/>
      <c r="AG167"/>
      <c r="AH167"/>
      <c r="AI167"/>
      <c r="AJ167"/>
      <c r="AK167"/>
      <c r="AL167"/>
      <c r="AM167"/>
      <c r="AN167"/>
      <c r="AO167"/>
      <c r="AP167"/>
      <c r="AQ167"/>
      <c r="AR167"/>
      <c r="AS167"/>
      <c r="AT167"/>
      <c r="AU167"/>
      <c r="AV167"/>
      <c r="AW167"/>
      <c r="AX167"/>
      <c r="AY167"/>
      <c r="AZ167"/>
      <c r="BA167"/>
      <c r="BB167"/>
      <c r="BC167"/>
      <c r="BD167"/>
      <c r="BE167"/>
      <c r="BF167"/>
      <c r="BG167"/>
      <c r="BH167"/>
      <c r="BI167"/>
      <c r="BJ167"/>
      <c r="BK167"/>
      <c r="BL167"/>
      <c r="BM167"/>
      <c r="BN167"/>
      <c r="BO167"/>
      <c r="BP167"/>
      <c r="BQ167"/>
      <c r="BR167"/>
      <c r="BS167"/>
      <c r="BT167"/>
      <c r="BU167"/>
      <c r="BV167"/>
      <c r="BW167"/>
      <c r="BX167"/>
      <c r="BY167"/>
      <c r="BZ167"/>
      <c r="CA167"/>
      <c r="CB167"/>
      <c r="CC167"/>
      <c r="CD167"/>
      <c r="CE167"/>
      <c r="CF167"/>
      <c r="CG167"/>
      <c r="CH167"/>
      <c r="CI167"/>
      <c r="CJ167"/>
      <c r="CK167"/>
      <c r="CL167"/>
      <c r="CM167"/>
      <c r="CN167"/>
      <c r="CO167"/>
      <c r="CP167"/>
      <c r="CQ167"/>
      <c r="CR167"/>
      <c r="CS167"/>
      <c r="CT167"/>
      <c r="CU167"/>
      <c r="CV167"/>
      <c r="CW167"/>
      <c r="CX167"/>
      <c r="CY167"/>
      <c r="CZ167"/>
      <c r="DA167"/>
      <c r="DB167"/>
      <c r="DC167"/>
      <c r="DD167"/>
      <c r="DE167"/>
      <c r="DF167"/>
      <c r="DG167"/>
      <c r="DH167"/>
      <c r="DI167"/>
      <c r="DJ167"/>
      <c r="DK167"/>
      <c r="DL167"/>
      <c r="DM167"/>
      <c r="DN167"/>
      <c r="DO167"/>
      <c r="DP167"/>
      <c r="DQ167"/>
      <c r="DR167"/>
      <c r="DS167"/>
      <c r="DT167"/>
      <c r="DU167"/>
      <c r="DV167"/>
      <c r="DW167"/>
      <c r="DX167"/>
      <c r="DY167"/>
      <c r="DZ167"/>
      <c r="EA167"/>
      <c r="EB167"/>
      <c r="EC167"/>
      <c r="ED167"/>
      <c r="EE167"/>
      <c r="EF167"/>
      <c r="EG167"/>
      <c r="EH167"/>
      <c r="EI167"/>
      <c r="EJ167"/>
      <c r="EK167"/>
      <c r="EL167"/>
      <c r="EM167"/>
      <c r="EN167"/>
      <c r="EO167"/>
      <c r="EP167"/>
      <c r="EQ167"/>
      <c r="ER167"/>
      <c r="ES167"/>
      <c r="ET167"/>
      <c r="EU167"/>
      <c r="EV167"/>
      <c r="EW167"/>
      <c r="EX167"/>
      <c r="EY167"/>
      <c r="EZ167"/>
      <c r="FA167"/>
      <c r="FB167"/>
      <c r="FC167"/>
      <c r="FD167"/>
      <c r="FE167"/>
      <c r="FF167"/>
      <c r="FG167"/>
      <c r="FH167"/>
      <c r="FI167"/>
      <c r="FJ167"/>
      <c r="FK167"/>
      <c r="FL167"/>
      <c r="FM167"/>
      <c r="FN167"/>
      <c r="FO167"/>
      <c r="FP167"/>
      <c r="FQ167"/>
      <c r="FR167"/>
      <c r="FS167"/>
      <c r="FT167"/>
      <c r="FU167"/>
      <c r="FV167"/>
      <c r="FW167"/>
      <c r="FX167"/>
      <c r="FY167"/>
      <c r="FZ167"/>
      <c r="GA167"/>
      <c r="GB167"/>
      <c r="GC167"/>
      <c r="GD167"/>
      <c r="GE167"/>
      <c r="GF167"/>
      <c r="GG167"/>
      <c r="GH167"/>
      <c r="GI167"/>
      <c r="GJ167"/>
      <c r="GK167"/>
    </row>
    <row r="168" spans="1:193" ht="18" hidden="1" customHeight="1" x14ac:dyDescent="0.25">
      <c r="A168" s="8" t="s">
        <v>169</v>
      </c>
      <c r="B168" s="8">
        <v>509</v>
      </c>
      <c r="C168" s="8">
        <v>21</v>
      </c>
      <c r="D168" s="8">
        <v>183</v>
      </c>
      <c r="E168" s="8">
        <v>305</v>
      </c>
      <c r="F168" s="8">
        <v>59886383</v>
      </c>
      <c r="G168" s="8" t="s">
        <v>197</v>
      </c>
      <c r="H168" s="1">
        <v>43906</v>
      </c>
      <c r="I168" s="14">
        <f t="shared" si="6"/>
        <v>4.1257367387033402E-2</v>
      </c>
      <c r="J168" s="14">
        <f t="shared" si="7"/>
        <v>0.35952848722986247</v>
      </c>
      <c r="K168" s="17">
        <f t="shared" si="8"/>
        <v>8.4994279918358071E-6</v>
      </c>
      <c r="L168" s="8" t="str" cm="1">
        <f t="array" ref="L168">_xlfn.IFS(I168&gt;5%,"High Risk",AND(I168&gt;2%,I168&lt;5%),"Modrate Risk",I168&lt;2%, "Low Risk")</f>
        <v>Modrate Risk</v>
      </c>
      <c r="N168"/>
      <c r="O168"/>
      <c r="P168"/>
      <c r="Q168"/>
      <c r="R168"/>
      <c r="S168"/>
      <c r="T168"/>
      <c r="U168"/>
      <c r="V168"/>
      <c r="W168"/>
      <c r="X168"/>
      <c r="Y168"/>
      <c r="Z168"/>
      <c r="AA168"/>
      <c r="AB168"/>
      <c r="AC168"/>
      <c r="AD168"/>
      <c r="AE168"/>
      <c r="AF168"/>
      <c r="AG168"/>
      <c r="AH168"/>
      <c r="AI168"/>
      <c r="AJ168"/>
      <c r="AK168"/>
      <c r="AL168"/>
      <c r="AM168"/>
      <c r="AN168"/>
      <c r="AO168"/>
      <c r="AP168"/>
      <c r="AQ168"/>
      <c r="AR168"/>
      <c r="AS168"/>
      <c r="AT168"/>
      <c r="AU168"/>
      <c r="AV168"/>
      <c r="AW168"/>
      <c r="AX168"/>
      <c r="AY168"/>
      <c r="AZ168"/>
      <c r="BA168"/>
      <c r="BB168"/>
      <c r="BC168"/>
      <c r="BD168"/>
      <c r="BE168"/>
      <c r="BF168"/>
      <c r="BG168"/>
      <c r="BH168"/>
      <c r="BI168"/>
      <c r="BJ168"/>
      <c r="BK168"/>
      <c r="BL168"/>
      <c r="BM168"/>
      <c r="BN168"/>
      <c r="BO168"/>
      <c r="BP168"/>
      <c r="BQ168"/>
      <c r="BR168"/>
      <c r="BS168"/>
      <c r="BT168"/>
      <c r="BU168"/>
      <c r="BV168"/>
      <c r="BW168"/>
      <c r="BX168"/>
      <c r="BY168"/>
      <c r="BZ168"/>
      <c r="CA168"/>
      <c r="CB168"/>
      <c r="CC168"/>
      <c r="CD168"/>
      <c r="CE168"/>
      <c r="CF168"/>
      <c r="CG168"/>
      <c r="CH168"/>
      <c r="CI168"/>
      <c r="CJ168"/>
      <c r="CK168"/>
      <c r="CL168"/>
      <c r="CM168"/>
      <c r="CN168"/>
      <c r="CO168"/>
      <c r="CP168"/>
      <c r="CQ168"/>
      <c r="CR168"/>
      <c r="CS168"/>
      <c r="CT168"/>
      <c r="CU168"/>
      <c r="CV168"/>
      <c r="CW168"/>
      <c r="CX168"/>
      <c r="CY168"/>
      <c r="CZ168"/>
      <c r="DA168"/>
      <c r="DB168"/>
      <c r="DC168"/>
      <c r="DD168"/>
      <c r="DE168"/>
      <c r="DF168"/>
      <c r="DG168"/>
      <c r="DH168"/>
      <c r="DI168"/>
      <c r="DJ168"/>
      <c r="DK168"/>
      <c r="DL168"/>
      <c r="DM168"/>
      <c r="DN168"/>
      <c r="DO168"/>
      <c r="DP168"/>
      <c r="DQ168"/>
      <c r="DR168"/>
      <c r="DS168"/>
      <c r="DT168"/>
      <c r="DU168"/>
      <c r="DV168"/>
      <c r="DW168"/>
      <c r="DX168"/>
      <c r="DY168"/>
      <c r="DZ168"/>
      <c r="EA168"/>
      <c r="EB168"/>
      <c r="EC168"/>
      <c r="ED168"/>
      <c r="EE168"/>
      <c r="EF168"/>
      <c r="EG168"/>
      <c r="EH168"/>
      <c r="EI168"/>
      <c r="EJ168"/>
      <c r="EK168"/>
      <c r="EL168"/>
      <c r="EM168"/>
      <c r="EN168"/>
      <c r="EO168"/>
      <c r="EP168"/>
      <c r="EQ168"/>
      <c r="ER168"/>
      <c r="ES168"/>
      <c r="ET168"/>
      <c r="EU168"/>
      <c r="EV168"/>
      <c r="EW168"/>
      <c r="EX168"/>
      <c r="EY168"/>
      <c r="EZ168"/>
      <c r="FA168"/>
      <c r="FB168"/>
      <c r="FC168"/>
      <c r="FD168"/>
      <c r="FE168"/>
      <c r="FF168"/>
      <c r="FG168"/>
      <c r="FH168"/>
      <c r="FI168"/>
      <c r="FJ168"/>
      <c r="FK168"/>
      <c r="FL168"/>
      <c r="FM168"/>
      <c r="FN168"/>
      <c r="FO168"/>
      <c r="FP168"/>
      <c r="FQ168"/>
      <c r="FR168"/>
      <c r="FS168"/>
      <c r="FT168"/>
      <c r="FU168"/>
      <c r="FV168"/>
      <c r="FW168"/>
      <c r="FX168"/>
      <c r="FY168"/>
      <c r="FZ168"/>
      <c r="GA168"/>
      <c r="GB168"/>
      <c r="GC168"/>
      <c r="GD168"/>
      <c r="GE168"/>
      <c r="GF168"/>
      <c r="GG168"/>
      <c r="GH168"/>
      <c r="GI168"/>
      <c r="GJ168"/>
      <c r="GK168"/>
    </row>
    <row r="169" spans="1:193" ht="18" hidden="1" customHeight="1" x14ac:dyDescent="0.25">
      <c r="A169" s="9" t="s">
        <v>170</v>
      </c>
      <c r="B169" s="9">
        <v>3297</v>
      </c>
      <c r="C169" s="9">
        <v>58</v>
      </c>
      <c r="D169" s="9">
        <v>3111</v>
      </c>
      <c r="E169" s="9">
        <v>128</v>
      </c>
      <c r="F169" s="9">
        <v>69817894</v>
      </c>
      <c r="G169" s="9" t="s">
        <v>195</v>
      </c>
      <c r="H169" s="10">
        <v>43843</v>
      </c>
      <c r="I169" s="15">
        <f t="shared" si="6"/>
        <v>1.7591750075826508E-2</v>
      </c>
      <c r="J169" s="15">
        <f t="shared" si="7"/>
        <v>0.94358507734303909</v>
      </c>
      <c r="K169" s="18">
        <f t="shared" si="8"/>
        <v>4.7222850921283877E-5</v>
      </c>
      <c r="L169" s="9" t="str" cm="1">
        <f t="array" ref="L169">_xlfn.IFS(I169&gt;5%,"High Risk",AND(I169&gt;2%,I169&lt;5%),"Modrate Risk",I169&lt;2%, "Low Risk")</f>
        <v>Low Risk</v>
      </c>
      <c r="N169"/>
      <c r="O169"/>
      <c r="P169"/>
      <c r="Q169"/>
      <c r="R169"/>
      <c r="S169"/>
      <c r="T169"/>
      <c r="U169"/>
      <c r="V169"/>
      <c r="W169"/>
      <c r="X169"/>
      <c r="Y169"/>
      <c r="Z169"/>
      <c r="AA169"/>
      <c r="AB169"/>
      <c r="AC169"/>
      <c r="AD169"/>
      <c r="AE169"/>
      <c r="AF169"/>
      <c r="AG169"/>
      <c r="AH169"/>
      <c r="AI169"/>
      <c r="AJ169"/>
      <c r="AK169"/>
      <c r="AL169"/>
      <c r="AM169"/>
      <c r="AN169"/>
      <c r="AO169"/>
      <c r="AP169"/>
      <c r="AQ169"/>
      <c r="AR169"/>
      <c r="AS169"/>
      <c r="AT169"/>
      <c r="AU169"/>
      <c r="AV169"/>
      <c r="AW169"/>
      <c r="AX169"/>
      <c r="AY169"/>
      <c r="AZ169"/>
      <c r="BA169"/>
      <c r="BB169"/>
      <c r="BC169"/>
      <c r="BD169"/>
      <c r="BE169"/>
      <c r="BF169"/>
      <c r="BG169"/>
      <c r="BH169"/>
      <c r="BI169"/>
      <c r="BJ169"/>
      <c r="BK169"/>
      <c r="BL169"/>
      <c r="BM169"/>
      <c r="BN169"/>
      <c r="BO169"/>
      <c r="BP169"/>
      <c r="BQ169"/>
      <c r="BR169"/>
      <c r="BS169"/>
      <c r="BT169"/>
      <c r="BU169"/>
      <c r="BV169"/>
      <c r="BW169"/>
      <c r="BX169"/>
      <c r="BY169"/>
      <c r="BZ169"/>
      <c r="CA169"/>
      <c r="CB169"/>
      <c r="CC169"/>
      <c r="CD169"/>
      <c r="CE169"/>
      <c r="CF169"/>
      <c r="CG169"/>
      <c r="CH169"/>
      <c r="CI169"/>
      <c r="CJ169"/>
      <c r="CK169"/>
      <c r="CL169"/>
      <c r="CM169"/>
      <c r="CN169"/>
      <c r="CO169"/>
      <c r="CP169"/>
      <c r="CQ169"/>
      <c r="CR169"/>
      <c r="CS169"/>
      <c r="CT169"/>
      <c r="CU169"/>
      <c r="CV169"/>
      <c r="CW169"/>
      <c r="CX169"/>
      <c r="CY169"/>
      <c r="CZ169"/>
      <c r="DA169"/>
      <c r="DB169"/>
      <c r="DC169"/>
      <c r="DD169"/>
      <c r="DE169"/>
      <c r="DF169"/>
      <c r="DG169"/>
      <c r="DH169"/>
      <c r="DI169"/>
      <c r="DJ169"/>
      <c r="DK169"/>
      <c r="DL169"/>
      <c r="DM169"/>
      <c r="DN169"/>
      <c r="DO169"/>
      <c r="DP169"/>
      <c r="DQ169"/>
      <c r="DR169"/>
      <c r="DS169"/>
      <c r="DT169"/>
      <c r="DU169"/>
      <c r="DV169"/>
      <c r="DW169"/>
      <c r="DX169"/>
      <c r="DY169"/>
      <c r="DZ169"/>
      <c r="EA169"/>
      <c r="EB169"/>
      <c r="EC169"/>
      <c r="ED169"/>
      <c r="EE169"/>
      <c r="EF169"/>
      <c r="EG169"/>
      <c r="EH169"/>
      <c r="EI169"/>
      <c r="EJ169"/>
      <c r="EK169"/>
      <c r="EL169"/>
      <c r="EM169"/>
      <c r="EN169"/>
      <c r="EO169"/>
      <c r="EP169"/>
      <c r="EQ169"/>
      <c r="ER169"/>
      <c r="ES169"/>
      <c r="ET169"/>
      <c r="EU169"/>
      <c r="EV169"/>
      <c r="EW169"/>
      <c r="EX169"/>
      <c r="EY169"/>
      <c r="EZ169"/>
      <c r="FA169"/>
      <c r="FB169"/>
      <c r="FC169"/>
      <c r="FD169"/>
      <c r="FE169"/>
      <c r="FF169"/>
      <c r="FG169"/>
      <c r="FH169"/>
      <c r="FI169"/>
      <c r="FJ169"/>
      <c r="FK169"/>
      <c r="FL169"/>
      <c r="FM169"/>
      <c r="FN169"/>
      <c r="FO169"/>
      <c r="FP169"/>
      <c r="FQ169"/>
      <c r="FR169"/>
      <c r="FS169"/>
      <c r="FT169"/>
      <c r="FU169"/>
      <c r="FV169"/>
      <c r="FW169"/>
      <c r="FX169"/>
      <c r="FY169"/>
      <c r="FZ169"/>
      <c r="GA169"/>
      <c r="GB169"/>
      <c r="GC169"/>
      <c r="GD169"/>
      <c r="GE169"/>
      <c r="GF169"/>
      <c r="GG169"/>
      <c r="GH169"/>
      <c r="GI169"/>
      <c r="GJ169"/>
      <c r="GK169"/>
    </row>
    <row r="170" spans="1:193" ht="18" hidden="1" customHeight="1" x14ac:dyDescent="0.25">
      <c r="A170" s="8" t="s">
        <v>171</v>
      </c>
      <c r="B170" s="8">
        <v>24</v>
      </c>
      <c r="C170" s="8">
        <v>0</v>
      </c>
      <c r="D170" s="8">
        <v>0</v>
      </c>
      <c r="E170" s="8">
        <v>24</v>
      </c>
      <c r="F170" s="8">
        <v>1320812</v>
      </c>
      <c r="G170" s="8" t="s">
        <v>195</v>
      </c>
      <c r="H170" s="1">
        <v>43911</v>
      </c>
      <c r="I170" s="14">
        <f t="shared" si="6"/>
        <v>0</v>
      </c>
      <c r="J170" s="14">
        <f t="shared" si="7"/>
        <v>0</v>
      </c>
      <c r="K170" s="17">
        <f t="shared" si="8"/>
        <v>1.8170640484792688E-5</v>
      </c>
      <c r="L170" s="8" t="str" cm="1">
        <f t="array" ref="L170">_xlfn.IFS(I170&gt;5%,"High Risk",AND(I170&gt;2%,I170&lt;5%),"Modrate Risk",I170&lt;2%, "Low Risk")</f>
        <v>Low Risk</v>
      </c>
      <c r="N170"/>
      <c r="O170"/>
      <c r="P170"/>
      <c r="Q170"/>
      <c r="R170"/>
      <c r="S170"/>
      <c r="T170"/>
      <c r="U170"/>
      <c r="V170"/>
      <c r="W170"/>
      <c r="X170"/>
      <c r="Y170"/>
      <c r="Z170"/>
      <c r="AA170"/>
      <c r="AB170"/>
      <c r="AC170"/>
      <c r="AD170"/>
      <c r="AE170"/>
      <c r="AF170"/>
      <c r="AG170"/>
      <c r="AH170"/>
      <c r="AI170"/>
      <c r="AJ170"/>
      <c r="AK170"/>
      <c r="AL170"/>
      <c r="AM170"/>
      <c r="AN170"/>
      <c r="AO170"/>
      <c r="AP170"/>
      <c r="AQ170"/>
      <c r="AR170"/>
      <c r="AS170"/>
      <c r="AT170"/>
      <c r="AU170"/>
      <c r="AV170"/>
      <c r="AW170"/>
      <c r="AX170"/>
      <c r="AY170"/>
      <c r="AZ170"/>
      <c r="BA170"/>
      <c r="BB170"/>
      <c r="BC170"/>
      <c r="BD170"/>
      <c r="BE170"/>
      <c r="BF170"/>
      <c r="BG170"/>
      <c r="BH170"/>
      <c r="BI170"/>
      <c r="BJ170"/>
      <c r="BK170"/>
      <c r="BL170"/>
      <c r="BM170"/>
      <c r="BN170"/>
      <c r="BO170"/>
      <c r="BP170"/>
      <c r="BQ170"/>
      <c r="BR170"/>
      <c r="BS170"/>
      <c r="BT170"/>
      <c r="BU170"/>
      <c r="BV170"/>
      <c r="BW170"/>
      <c r="BX170"/>
      <c r="BY170"/>
      <c r="BZ170"/>
      <c r="CA170"/>
      <c r="CB170"/>
      <c r="CC170"/>
      <c r="CD170"/>
      <c r="CE170"/>
      <c r="CF170"/>
      <c r="CG170"/>
      <c r="CH170"/>
      <c r="CI170"/>
      <c r="CJ170"/>
      <c r="CK170"/>
      <c r="CL170"/>
      <c r="CM170"/>
      <c r="CN170"/>
      <c r="CO170"/>
      <c r="CP170"/>
      <c r="CQ170"/>
      <c r="CR170"/>
      <c r="CS170"/>
      <c r="CT170"/>
      <c r="CU170"/>
      <c r="CV170"/>
      <c r="CW170"/>
      <c r="CX170"/>
      <c r="CY170"/>
      <c r="CZ170"/>
      <c r="DA170"/>
      <c r="DB170"/>
      <c r="DC170"/>
      <c r="DD170"/>
      <c r="DE170"/>
      <c r="DF170"/>
      <c r="DG170"/>
      <c r="DH170"/>
      <c r="DI170"/>
      <c r="DJ170"/>
      <c r="DK170"/>
      <c r="DL170"/>
      <c r="DM170"/>
      <c r="DN170"/>
      <c r="DO170"/>
      <c r="DP170"/>
      <c r="DQ170"/>
      <c r="DR170"/>
      <c r="DS170"/>
      <c r="DT170"/>
      <c r="DU170"/>
      <c r="DV170"/>
      <c r="DW170"/>
      <c r="DX170"/>
      <c r="DY170"/>
      <c r="DZ170"/>
      <c r="EA170"/>
      <c r="EB170"/>
      <c r="EC170"/>
      <c r="ED170"/>
      <c r="EE170"/>
      <c r="EF170"/>
      <c r="EG170"/>
      <c r="EH170"/>
      <c r="EI170"/>
      <c r="EJ170"/>
      <c r="EK170"/>
      <c r="EL170"/>
      <c r="EM170"/>
      <c r="EN170"/>
      <c r="EO170"/>
      <c r="EP170"/>
      <c r="EQ170"/>
      <c r="ER170"/>
      <c r="ES170"/>
      <c r="ET170"/>
      <c r="EU170"/>
      <c r="EV170"/>
      <c r="EW170"/>
      <c r="EX170"/>
      <c r="EY170"/>
      <c r="EZ170"/>
      <c r="FA170"/>
      <c r="FB170"/>
      <c r="FC170"/>
      <c r="FD170"/>
      <c r="FE170"/>
      <c r="FF170"/>
      <c r="FG170"/>
      <c r="FH170"/>
      <c r="FI170"/>
      <c r="FJ170"/>
      <c r="FK170"/>
      <c r="FL170"/>
      <c r="FM170"/>
      <c r="FN170"/>
      <c r="FO170"/>
      <c r="FP170"/>
      <c r="FQ170"/>
      <c r="FR170"/>
      <c r="FS170"/>
      <c r="FT170"/>
      <c r="FU170"/>
      <c r="FV170"/>
      <c r="FW170"/>
      <c r="FX170"/>
      <c r="FY170"/>
      <c r="FZ170"/>
      <c r="GA170"/>
      <c r="GB170"/>
      <c r="GC170"/>
      <c r="GD170"/>
      <c r="GE170"/>
      <c r="GF170"/>
      <c r="GG170"/>
      <c r="GH170"/>
      <c r="GI170"/>
      <c r="GJ170"/>
      <c r="GK170"/>
    </row>
    <row r="171" spans="1:193" ht="18" hidden="1" customHeight="1" x14ac:dyDescent="0.25">
      <c r="A171" s="9" t="s">
        <v>172</v>
      </c>
      <c r="B171" s="9">
        <v>874</v>
      </c>
      <c r="C171" s="9">
        <v>18</v>
      </c>
      <c r="D171" s="9">
        <v>607</v>
      </c>
      <c r="E171" s="9">
        <v>249</v>
      </c>
      <c r="F171" s="9">
        <v>8296582</v>
      </c>
      <c r="G171" s="9" t="s">
        <v>197</v>
      </c>
      <c r="H171" s="10">
        <v>43896</v>
      </c>
      <c r="I171" s="15">
        <f t="shared" si="6"/>
        <v>2.0594965675057208E-2</v>
      </c>
      <c r="J171" s="15">
        <f t="shared" si="7"/>
        <v>0.69450800915331812</v>
      </c>
      <c r="K171" s="18">
        <f t="shared" si="8"/>
        <v>1.0534458648151732E-4</v>
      </c>
      <c r="L171" s="9" t="str" cm="1">
        <f t="array" ref="L171">_xlfn.IFS(I171&gt;5%,"High Risk",AND(I171&gt;2%,I171&lt;5%),"Modrate Risk",I171&lt;2%, "Low Risk")</f>
        <v>Modrate Risk</v>
      </c>
      <c r="N171"/>
      <c r="O171"/>
      <c r="P171"/>
      <c r="Q171"/>
      <c r="R171"/>
      <c r="S171"/>
      <c r="T171"/>
      <c r="U171"/>
      <c r="V171"/>
      <c r="W171"/>
      <c r="X171"/>
      <c r="Y171"/>
      <c r="Z171"/>
      <c r="AA171"/>
      <c r="AB171"/>
      <c r="AC171"/>
      <c r="AD171"/>
      <c r="AE171"/>
      <c r="AF171"/>
      <c r="AG171"/>
      <c r="AH171"/>
      <c r="AI171"/>
      <c r="AJ171"/>
      <c r="AK171"/>
      <c r="AL171"/>
      <c r="AM171"/>
      <c r="AN171"/>
      <c r="AO171"/>
      <c r="AP171"/>
      <c r="AQ171"/>
      <c r="AR171"/>
      <c r="AS171"/>
      <c r="AT171"/>
      <c r="AU171"/>
      <c r="AV171"/>
      <c r="AW171"/>
      <c r="AX171"/>
      <c r="AY171"/>
      <c r="AZ171"/>
      <c r="BA171"/>
      <c r="BB171"/>
      <c r="BC171"/>
      <c r="BD171"/>
      <c r="BE171"/>
      <c r="BF171"/>
      <c r="BG171"/>
      <c r="BH171"/>
      <c r="BI171"/>
      <c r="BJ171"/>
      <c r="BK171"/>
      <c r="BL171"/>
      <c r="BM171"/>
      <c r="BN171"/>
      <c r="BO171"/>
      <c r="BP171"/>
      <c r="BQ171"/>
      <c r="BR171"/>
      <c r="BS171"/>
      <c r="BT171"/>
      <c r="BU171"/>
      <c r="BV171"/>
      <c r="BW171"/>
      <c r="BX171"/>
      <c r="BY171"/>
      <c r="BZ171"/>
      <c r="CA171"/>
      <c r="CB171"/>
      <c r="CC171"/>
      <c r="CD171"/>
      <c r="CE171"/>
      <c r="CF171"/>
      <c r="CG171"/>
      <c r="CH171"/>
      <c r="CI171"/>
      <c r="CJ171"/>
      <c r="CK171"/>
      <c r="CL171"/>
      <c r="CM171"/>
      <c r="CN171"/>
      <c r="CO171"/>
      <c r="CP171"/>
      <c r="CQ171"/>
      <c r="CR171"/>
      <c r="CS171"/>
      <c r="CT171"/>
      <c r="CU171"/>
      <c r="CV171"/>
      <c r="CW171"/>
      <c r="CX171"/>
      <c r="CY171"/>
      <c r="CZ171"/>
      <c r="DA171"/>
      <c r="DB171"/>
      <c r="DC171"/>
      <c r="DD171"/>
      <c r="DE171"/>
      <c r="DF171"/>
      <c r="DG171"/>
      <c r="DH171"/>
      <c r="DI171"/>
      <c r="DJ171"/>
      <c r="DK171"/>
      <c r="DL171"/>
      <c r="DM171"/>
      <c r="DN171"/>
      <c r="DO171"/>
      <c r="DP171"/>
      <c r="DQ171"/>
      <c r="DR171"/>
      <c r="DS171"/>
      <c r="DT171"/>
      <c r="DU171"/>
      <c r="DV171"/>
      <c r="DW171"/>
      <c r="DX171"/>
      <c r="DY171"/>
      <c r="DZ171"/>
      <c r="EA171"/>
      <c r="EB171"/>
      <c r="EC171"/>
      <c r="ED171"/>
      <c r="EE171"/>
      <c r="EF171"/>
      <c r="EG171"/>
      <c r="EH171"/>
      <c r="EI171"/>
      <c r="EJ171"/>
      <c r="EK171"/>
      <c r="EL171"/>
      <c r="EM171"/>
      <c r="EN171"/>
      <c r="EO171"/>
      <c r="EP171"/>
      <c r="EQ171"/>
      <c r="ER171"/>
      <c r="ES171"/>
      <c r="ET171"/>
      <c r="EU171"/>
      <c r="EV171"/>
      <c r="EW171"/>
      <c r="EX171"/>
      <c r="EY171"/>
      <c r="EZ171"/>
      <c r="FA171"/>
      <c r="FB171"/>
      <c r="FC171"/>
      <c r="FD171"/>
      <c r="FE171"/>
      <c r="FF171"/>
      <c r="FG171"/>
      <c r="FH171"/>
      <c r="FI171"/>
      <c r="FJ171"/>
      <c r="FK171"/>
      <c r="FL171"/>
      <c r="FM171"/>
      <c r="FN171"/>
      <c r="FO171"/>
      <c r="FP171"/>
      <c r="FQ171"/>
      <c r="FR171"/>
      <c r="FS171"/>
      <c r="FT171"/>
      <c r="FU171"/>
      <c r="FV171"/>
      <c r="FW171"/>
      <c r="FX171"/>
      <c r="FY171"/>
      <c r="FZ171"/>
      <c r="GA171"/>
      <c r="GB171"/>
      <c r="GC171"/>
      <c r="GD171"/>
      <c r="GE171"/>
      <c r="GF171"/>
      <c r="GG171"/>
      <c r="GH171"/>
      <c r="GI171"/>
      <c r="GJ171"/>
      <c r="GK171"/>
    </row>
    <row r="172" spans="1:193" ht="18" hidden="1" customHeight="1" x14ac:dyDescent="0.25">
      <c r="A172" s="8" t="s">
        <v>173</v>
      </c>
      <c r="B172" s="8">
        <v>148</v>
      </c>
      <c r="C172" s="8">
        <v>8</v>
      </c>
      <c r="D172" s="8">
        <v>128</v>
      </c>
      <c r="E172" s="8">
        <v>12</v>
      </c>
      <c r="F172" s="8">
        <v>1399950</v>
      </c>
      <c r="G172" s="8" t="s">
        <v>198</v>
      </c>
      <c r="H172" s="1">
        <v>43902</v>
      </c>
      <c r="I172" s="14">
        <f t="shared" si="6"/>
        <v>5.4054054054054057E-2</v>
      </c>
      <c r="J172" s="14">
        <f t="shared" si="7"/>
        <v>0.86486486486486491</v>
      </c>
      <c r="K172" s="17">
        <f t="shared" si="8"/>
        <v>1.0571806135933426E-4</v>
      </c>
      <c r="L172" s="8" t="str" cm="1">
        <f t="array" ref="L172">_xlfn.IFS(I172&gt;5%,"High Risk",AND(I172&gt;2%,I172&lt;5%),"Modrate Risk",I172&lt;2%, "Low Risk")</f>
        <v>High Risk</v>
      </c>
      <c r="N172"/>
      <c r="O172"/>
      <c r="P172"/>
      <c r="Q172"/>
      <c r="R172"/>
      <c r="S172"/>
      <c r="T172"/>
      <c r="U172"/>
      <c r="V172"/>
      <c r="W172"/>
      <c r="X172"/>
      <c r="Y172"/>
      <c r="Z172"/>
      <c r="AA172"/>
      <c r="AB172"/>
      <c r="AC172"/>
      <c r="AD172"/>
      <c r="AE172"/>
      <c r="AF172"/>
      <c r="AG172"/>
      <c r="AH172"/>
      <c r="AI172"/>
      <c r="AJ172"/>
      <c r="AK172"/>
      <c r="AL172"/>
      <c r="AM172"/>
      <c r="AN172"/>
      <c r="AO172"/>
      <c r="AP172"/>
      <c r="AQ172"/>
      <c r="AR172"/>
      <c r="AS172"/>
      <c r="AT172"/>
      <c r="AU172"/>
      <c r="AV172"/>
      <c r="AW172"/>
      <c r="AX172"/>
      <c r="AY172"/>
      <c r="AZ172"/>
      <c r="BA172"/>
      <c r="BB172"/>
      <c r="BC172"/>
      <c r="BD172"/>
      <c r="BE172"/>
      <c r="BF172"/>
      <c r="BG172"/>
      <c r="BH172"/>
      <c r="BI172"/>
      <c r="BJ172"/>
      <c r="BK172"/>
      <c r="BL172"/>
      <c r="BM172"/>
      <c r="BN172"/>
      <c r="BO172"/>
      <c r="BP172"/>
      <c r="BQ172"/>
      <c r="BR172"/>
      <c r="BS172"/>
      <c r="BT172"/>
      <c r="BU172"/>
      <c r="BV172"/>
      <c r="BW172"/>
      <c r="BX172"/>
      <c r="BY172"/>
      <c r="BZ172"/>
      <c r="CA172"/>
      <c r="CB172"/>
      <c r="CC172"/>
      <c r="CD172"/>
      <c r="CE172"/>
      <c r="CF172"/>
      <c r="CG172"/>
      <c r="CH172"/>
      <c r="CI172"/>
      <c r="CJ172"/>
      <c r="CK172"/>
      <c r="CL172"/>
      <c r="CM172"/>
      <c r="CN172"/>
      <c r="CO172"/>
      <c r="CP172"/>
      <c r="CQ172"/>
      <c r="CR172"/>
      <c r="CS172"/>
      <c r="CT172"/>
      <c r="CU172"/>
      <c r="CV172"/>
      <c r="CW172"/>
      <c r="CX172"/>
      <c r="CY172"/>
      <c r="CZ172"/>
      <c r="DA172"/>
      <c r="DB172"/>
      <c r="DC172"/>
      <c r="DD172"/>
      <c r="DE172"/>
      <c r="DF172"/>
      <c r="DG172"/>
      <c r="DH172"/>
      <c r="DI172"/>
      <c r="DJ172"/>
      <c r="DK172"/>
      <c r="DL172"/>
      <c r="DM172"/>
      <c r="DN172"/>
      <c r="DO172"/>
      <c r="DP172"/>
      <c r="DQ172"/>
      <c r="DR172"/>
      <c r="DS172"/>
      <c r="DT172"/>
      <c r="DU172"/>
      <c r="DV172"/>
      <c r="DW172"/>
      <c r="DX172"/>
      <c r="DY172"/>
      <c r="DZ172"/>
      <c r="EA172"/>
      <c r="EB172"/>
      <c r="EC172"/>
      <c r="ED172"/>
      <c r="EE172"/>
      <c r="EF172"/>
      <c r="EG172"/>
      <c r="EH172"/>
      <c r="EI172"/>
      <c r="EJ172"/>
      <c r="EK172"/>
      <c r="EL172"/>
      <c r="EM172"/>
      <c r="EN172"/>
      <c r="EO172"/>
      <c r="EP172"/>
      <c r="EQ172"/>
      <c r="ER172"/>
      <c r="ES172"/>
      <c r="ET172"/>
      <c r="EU172"/>
      <c r="EV172"/>
      <c r="EW172"/>
      <c r="EX172"/>
      <c r="EY172"/>
      <c r="EZ172"/>
      <c r="FA172"/>
      <c r="FB172"/>
      <c r="FC172"/>
      <c r="FD172"/>
      <c r="FE172"/>
      <c r="FF172"/>
      <c r="FG172"/>
      <c r="FH172"/>
      <c r="FI172"/>
      <c r="FJ172"/>
      <c r="FK172"/>
      <c r="FL172"/>
      <c r="FM172"/>
      <c r="FN172"/>
      <c r="FO172"/>
      <c r="FP172"/>
      <c r="FQ172"/>
      <c r="FR172"/>
      <c r="FS172"/>
      <c r="FT172"/>
      <c r="FU172"/>
      <c r="FV172"/>
      <c r="FW172"/>
      <c r="FX172"/>
      <c r="FY172"/>
      <c r="FZ172"/>
      <c r="GA172"/>
      <c r="GB172"/>
      <c r="GC172"/>
      <c r="GD172"/>
      <c r="GE172"/>
      <c r="GF172"/>
      <c r="GG172"/>
      <c r="GH172"/>
      <c r="GI172"/>
      <c r="GJ172"/>
      <c r="GK172"/>
    </row>
    <row r="173" spans="1:193" ht="18" hidden="1" customHeight="1" x14ac:dyDescent="0.25">
      <c r="A173" s="9" t="s">
        <v>174</v>
      </c>
      <c r="B173" s="9">
        <v>1455</v>
      </c>
      <c r="C173" s="9">
        <v>50</v>
      </c>
      <c r="D173" s="9">
        <v>1157</v>
      </c>
      <c r="E173" s="9">
        <v>248</v>
      </c>
      <c r="F173" s="9">
        <v>11830801</v>
      </c>
      <c r="G173" s="9" t="s">
        <v>197</v>
      </c>
      <c r="H173" s="10">
        <v>43892</v>
      </c>
      <c r="I173" s="15">
        <f t="shared" si="6"/>
        <v>3.4364261168384883E-2</v>
      </c>
      <c r="J173" s="15">
        <f t="shared" si="7"/>
        <v>0.79518900343642607</v>
      </c>
      <c r="K173" s="18">
        <f t="shared" si="8"/>
        <v>1.2298406506879795E-4</v>
      </c>
      <c r="L173" s="9" t="str" cm="1">
        <f t="array" ref="L173">_xlfn.IFS(I173&gt;5%,"High Risk",AND(I173&gt;2%,I173&lt;5%),"Modrate Risk",I173&lt;2%, "Low Risk")</f>
        <v>Modrate Risk</v>
      </c>
      <c r="N173"/>
      <c r="O173"/>
      <c r="P173"/>
      <c r="Q173"/>
      <c r="R173"/>
      <c r="S173"/>
      <c r="T173"/>
      <c r="U173"/>
      <c r="V173"/>
      <c r="W173"/>
      <c r="X173"/>
      <c r="Y173"/>
      <c r="Z173"/>
      <c r="AA173"/>
      <c r="AB173"/>
      <c r="AC173"/>
      <c r="AD173"/>
      <c r="AE173"/>
      <c r="AF173"/>
      <c r="AG173"/>
      <c r="AH173"/>
      <c r="AI173"/>
      <c r="AJ173"/>
      <c r="AK173"/>
      <c r="AL173"/>
      <c r="AM173"/>
      <c r="AN173"/>
      <c r="AO173"/>
      <c r="AP173"/>
      <c r="AQ173"/>
      <c r="AR173"/>
      <c r="AS173"/>
      <c r="AT173"/>
      <c r="AU173"/>
      <c r="AV173"/>
      <c r="AW173"/>
      <c r="AX173"/>
      <c r="AY173"/>
      <c r="AZ173"/>
      <c r="BA173"/>
      <c r="BB173"/>
      <c r="BC173"/>
      <c r="BD173"/>
      <c r="BE173"/>
      <c r="BF173"/>
      <c r="BG173"/>
      <c r="BH173"/>
      <c r="BI173"/>
      <c r="BJ173"/>
      <c r="BK173"/>
      <c r="BL173"/>
      <c r="BM173"/>
      <c r="BN173"/>
      <c r="BO173"/>
      <c r="BP173"/>
      <c r="BQ173"/>
      <c r="BR173"/>
      <c r="BS173"/>
      <c r="BT173"/>
      <c r="BU173"/>
      <c r="BV173"/>
      <c r="BW173"/>
      <c r="BX173"/>
      <c r="BY173"/>
      <c r="BZ173"/>
      <c r="CA173"/>
      <c r="CB173"/>
      <c r="CC173"/>
      <c r="CD173"/>
      <c r="CE173"/>
      <c r="CF173"/>
      <c r="CG173"/>
      <c r="CH173"/>
      <c r="CI173"/>
      <c r="CJ173"/>
      <c r="CK173"/>
      <c r="CL173"/>
      <c r="CM173"/>
      <c r="CN173"/>
      <c r="CO173"/>
      <c r="CP173"/>
      <c r="CQ173"/>
      <c r="CR173"/>
      <c r="CS173"/>
      <c r="CT173"/>
      <c r="CU173"/>
      <c r="CV173"/>
      <c r="CW173"/>
      <c r="CX173"/>
      <c r="CY173"/>
      <c r="CZ173"/>
      <c r="DA173"/>
      <c r="DB173"/>
      <c r="DC173"/>
      <c r="DD173"/>
      <c r="DE173"/>
      <c r="DF173"/>
      <c r="DG173"/>
      <c r="DH173"/>
      <c r="DI173"/>
      <c r="DJ173"/>
      <c r="DK173"/>
      <c r="DL173"/>
      <c r="DM173"/>
      <c r="DN173"/>
      <c r="DO173"/>
      <c r="DP173"/>
      <c r="DQ173"/>
      <c r="DR173"/>
      <c r="DS173"/>
      <c r="DT173"/>
      <c r="DU173"/>
      <c r="DV173"/>
      <c r="DW173"/>
      <c r="DX173"/>
      <c r="DY173"/>
      <c r="DZ173"/>
      <c r="EA173"/>
      <c r="EB173"/>
      <c r="EC173"/>
      <c r="ED173"/>
      <c r="EE173"/>
      <c r="EF173"/>
      <c r="EG173"/>
      <c r="EH173"/>
      <c r="EI173"/>
      <c r="EJ173"/>
      <c r="EK173"/>
      <c r="EL173"/>
      <c r="EM173"/>
      <c r="EN173"/>
      <c r="EO173"/>
      <c r="EP173"/>
      <c r="EQ173"/>
      <c r="ER173"/>
      <c r="ES173"/>
      <c r="ET173"/>
      <c r="EU173"/>
      <c r="EV173"/>
      <c r="EW173"/>
      <c r="EX173"/>
      <c r="EY173"/>
      <c r="EZ173"/>
      <c r="FA173"/>
      <c r="FB173"/>
      <c r="FC173"/>
      <c r="FD173"/>
      <c r="FE173"/>
      <c r="FF173"/>
      <c r="FG173"/>
      <c r="FH173"/>
      <c r="FI173"/>
      <c r="FJ173"/>
      <c r="FK173"/>
      <c r="FL173"/>
      <c r="FM173"/>
      <c r="FN173"/>
      <c r="FO173"/>
      <c r="FP173"/>
      <c r="FQ173"/>
      <c r="FR173"/>
      <c r="FS173"/>
      <c r="FT173"/>
      <c r="FU173"/>
      <c r="FV173"/>
      <c r="FW173"/>
      <c r="FX173"/>
      <c r="FY173"/>
      <c r="FZ173"/>
      <c r="GA173"/>
      <c r="GB173"/>
      <c r="GC173"/>
      <c r="GD173"/>
      <c r="GE173"/>
      <c r="GF173"/>
      <c r="GG173"/>
      <c r="GH173"/>
      <c r="GI173"/>
      <c r="GJ173"/>
      <c r="GK173"/>
    </row>
    <row r="174" spans="1:193" ht="18" hidden="1" customHeight="1" x14ac:dyDescent="0.25">
      <c r="A174" s="8" t="s">
        <v>175</v>
      </c>
      <c r="B174" s="8">
        <v>227019</v>
      </c>
      <c r="C174" s="8">
        <v>5630</v>
      </c>
      <c r="D174" s="8">
        <v>210469</v>
      </c>
      <c r="E174" s="8">
        <v>10920</v>
      </c>
      <c r="F174" s="8">
        <v>84428331</v>
      </c>
      <c r="G174" s="8" t="s">
        <v>195</v>
      </c>
      <c r="H174" s="1">
        <v>43901</v>
      </c>
      <c r="I174" s="14">
        <f t="shared" si="6"/>
        <v>2.4799686369863315E-2</v>
      </c>
      <c r="J174" s="14">
        <f t="shared" si="7"/>
        <v>0.92709861289143203</v>
      </c>
      <c r="K174" s="17">
        <f t="shared" si="8"/>
        <v>2.6888959820844972E-3</v>
      </c>
      <c r="L174" s="8" t="str" cm="1">
        <f t="array" ref="L174">_xlfn.IFS(I174&gt;5%,"High Risk",AND(I174&gt;2%,I174&lt;5%),"Modrate Risk",I174&lt;2%, "Low Risk")</f>
        <v>Modrate Risk</v>
      </c>
      <c r="N174"/>
      <c r="O174"/>
      <c r="P174"/>
      <c r="Q174"/>
      <c r="R174"/>
      <c r="S174"/>
      <c r="T174"/>
      <c r="U174"/>
      <c r="V174"/>
      <c r="W174"/>
      <c r="X174"/>
      <c r="Y174"/>
      <c r="Z174"/>
      <c r="AA174"/>
      <c r="AB174"/>
      <c r="AC174"/>
      <c r="AD174"/>
      <c r="AE174"/>
      <c r="AF174"/>
      <c r="AG174"/>
      <c r="AH174"/>
      <c r="AI174"/>
      <c r="AJ174"/>
      <c r="AK174"/>
      <c r="AL174"/>
      <c r="AM174"/>
      <c r="AN174"/>
      <c r="AO174"/>
      <c r="AP174"/>
      <c r="AQ174"/>
      <c r="AR174"/>
      <c r="AS174"/>
      <c r="AT174"/>
      <c r="AU174"/>
      <c r="AV174"/>
      <c r="AW174"/>
      <c r="AX174"/>
      <c r="AY174"/>
      <c r="AZ174"/>
      <c r="BA174"/>
      <c r="BB174"/>
      <c r="BC174"/>
      <c r="BD174"/>
      <c r="BE174"/>
      <c r="BF174"/>
      <c r="BG174"/>
      <c r="BH174"/>
      <c r="BI174"/>
      <c r="BJ174"/>
      <c r="BK174"/>
      <c r="BL174"/>
      <c r="BM174"/>
      <c r="BN174"/>
      <c r="BO174"/>
      <c r="BP174"/>
      <c r="BQ174"/>
      <c r="BR174"/>
      <c r="BS174"/>
      <c r="BT174"/>
      <c r="BU174"/>
      <c r="BV174"/>
      <c r="BW174"/>
      <c r="BX174"/>
      <c r="BY174"/>
      <c r="BZ174"/>
      <c r="CA174"/>
      <c r="CB174"/>
      <c r="CC174"/>
      <c r="CD174"/>
      <c r="CE174"/>
      <c r="CF174"/>
      <c r="CG174"/>
      <c r="CH174"/>
      <c r="CI174"/>
      <c r="CJ174"/>
      <c r="CK174"/>
      <c r="CL174"/>
      <c r="CM174"/>
      <c r="CN174"/>
      <c r="CO174"/>
      <c r="CP174"/>
      <c r="CQ174"/>
      <c r="CR174"/>
      <c r="CS174"/>
      <c r="CT174"/>
      <c r="CU174"/>
      <c r="CV174"/>
      <c r="CW174"/>
      <c r="CX174"/>
      <c r="CY174"/>
      <c r="CZ174"/>
      <c r="DA174"/>
      <c r="DB174"/>
      <c r="DC174"/>
      <c r="DD174"/>
      <c r="DE174"/>
      <c r="DF174"/>
      <c r="DG174"/>
      <c r="DH174"/>
      <c r="DI174"/>
      <c r="DJ174"/>
      <c r="DK174"/>
      <c r="DL174"/>
      <c r="DM174"/>
      <c r="DN174"/>
      <c r="DO174"/>
      <c r="DP174"/>
      <c r="DQ174"/>
      <c r="DR174"/>
      <c r="DS174"/>
      <c r="DT174"/>
      <c r="DU174"/>
      <c r="DV174"/>
      <c r="DW174"/>
      <c r="DX174"/>
      <c r="DY174"/>
      <c r="DZ174"/>
      <c r="EA174"/>
      <c r="EB174"/>
      <c r="EC174"/>
      <c r="ED174"/>
      <c r="EE174"/>
      <c r="EF174"/>
      <c r="EG174"/>
      <c r="EH174"/>
      <c r="EI174"/>
      <c r="EJ174"/>
      <c r="EK174"/>
      <c r="EL174"/>
      <c r="EM174"/>
      <c r="EN174"/>
      <c r="EO174"/>
      <c r="EP174"/>
      <c r="EQ174"/>
      <c r="ER174"/>
      <c r="ES174"/>
      <c r="ET174"/>
      <c r="EU174"/>
      <c r="EV174"/>
      <c r="EW174"/>
      <c r="EX174"/>
      <c r="EY174"/>
      <c r="EZ174"/>
      <c r="FA174"/>
      <c r="FB174"/>
      <c r="FC174"/>
      <c r="FD174"/>
      <c r="FE174"/>
      <c r="FF174"/>
      <c r="FG174"/>
      <c r="FH174"/>
      <c r="FI174"/>
      <c r="FJ174"/>
      <c r="FK174"/>
      <c r="FL174"/>
      <c r="FM174"/>
      <c r="FN174"/>
      <c r="FO174"/>
      <c r="FP174"/>
      <c r="FQ174"/>
      <c r="FR174"/>
      <c r="FS174"/>
      <c r="FT174"/>
      <c r="FU174"/>
      <c r="FV174"/>
      <c r="FW174"/>
      <c r="FX174"/>
      <c r="FY174"/>
      <c r="FZ174"/>
      <c r="GA174"/>
      <c r="GB174"/>
      <c r="GC174"/>
      <c r="GD174"/>
      <c r="GE174"/>
      <c r="GF174"/>
      <c r="GG174"/>
      <c r="GH174"/>
      <c r="GI174"/>
      <c r="GJ174"/>
      <c r="GK174"/>
    </row>
    <row r="175" spans="1:193" ht="18" customHeight="1" x14ac:dyDescent="0.25">
      <c r="A175" s="9" t="s">
        <v>176</v>
      </c>
      <c r="B175" s="9">
        <v>4290259</v>
      </c>
      <c r="C175" s="9">
        <v>148011</v>
      </c>
      <c r="D175" s="9">
        <v>1325804</v>
      </c>
      <c r="E175" s="9">
        <v>2816444</v>
      </c>
      <c r="F175" s="9">
        <v>331198130</v>
      </c>
      <c r="G175" s="9" t="s">
        <v>198</v>
      </c>
      <c r="H175" s="10">
        <v>43851</v>
      </c>
      <c r="I175" s="15">
        <f t="shared" si="6"/>
        <v>3.4499315775574385E-2</v>
      </c>
      <c r="J175" s="15">
        <f t="shared" si="7"/>
        <v>0.30902656459668287</v>
      </c>
      <c r="K175" s="18">
        <f t="shared" si="8"/>
        <v>1.2953753694201112E-2</v>
      </c>
      <c r="L175" s="9" t="str" cm="1">
        <f t="array" ref="L175">_xlfn.IFS(I175&gt;5%,"High Risk",AND(I175&gt;2%,I175&lt;5%),"Modrate Risk",I175&lt;2%, "Low Risk")</f>
        <v>Modrate Risk</v>
      </c>
      <c r="N175"/>
      <c r="O175"/>
      <c r="P175"/>
      <c r="Q175"/>
      <c r="R175"/>
      <c r="S175"/>
      <c r="T175"/>
      <c r="U175"/>
      <c r="V175"/>
      <c r="W175"/>
      <c r="X175"/>
      <c r="Y175"/>
      <c r="Z175"/>
      <c r="AA175"/>
      <c r="AB175"/>
      <c r="AC175"/>
      <c r="AD175"/>
      <c r="AE175"/>
      <c r="AF175"/>
      <c r="AG175"/>
      <c r="AH175"/>
      <c r="AI175"/>
      <c r="AJ175"/>
      <c r="AK175"/>
      <c r="AL175"/>
      <c r="AM175"/>
      <c r="AN175"/>
      <c r="AO175"/>
      <c r="AP175"/>
      <c r="AQ175"/>
      <c r="AR175"/>
      <c r="AS175"/>
      <c r="AT175"/>
      <c r="AU175"/>
      <c r="AV175"/>
      <c r="AW175"/>
      <c r="AX175"/>
      <c r="AY175"/>
      <c r="AZ175"/>
      <c r="BA175"/>
      <c r="BB175"/>
      <c r="BC175"/>
      <c r="BD175"/>
      <c r="BE175"/>
      <c r="BF175"/>
      <c r="BG175"/>
      <c r="BH175"/>
      <c r="BI175"/>
      <c r="BJ175"/>
      <c r="BK175"/>
      <c r="BL175"/>
      <c r="BM175"/>
      <c r="BN175"/>
      <c r="BO175"/>
      <c r="BP175"/>
      <c r="BQ175"/>
      <c r="BR175"/>
      <c r="BS175"/>
      <c r="BT175"/>
      <c r="BU175"/>
      <c r="BV175"/>
      <c r="BW175"/>
      <c r="BX175"/>
      <c r="BY175"/>
      <c r="BZ175"/>
      <c r="CA175"/>
      <c r="CB175"/>
      <c r="CC175"/>
      <c r="CD175"/>
      <c r="CE175"/>
      <c r="CF175"/>
      <c r="CG175"/>
      <c r="CH175"/>
      <c r="CI175"/>
      <c r="CJ175"/>
      <c r="CK175"/>
      <c r="CL175"/>
      <c r="CM175"/>
      <c r="CN175"/>
      <c r="CO175"/>
      <c r="CP175"/>
      <c r="CQ175"/>
      <c r="CR175"/>
      <c r="CS175"/>
      <c r="CT175"/>
      <c r="CU175"/>
      <c r="CV175"/>
      <c r="CW175"/>
      <c r="CX175"/>
      <c r="CY175"/>
      <c r="CZ175"/>
      <c r="DA175"/>
      <c r="DB175"/>
      <c r="DC175"/>
      <c r="DD175"/>
      <c r="DE175"/>
      <c r="DF175"/>
      <c r="DG175"/>
      <c r="DH175"/>
      <c r="DI175"/>
      <c r="DJ175"/>
      <c r="DK175"/>
      <c r="DL175"/>
      <c r="DM175"/>
      <c r="DN175"/>
      <c r="DO175"/>
      <c r="DP175"/>
      <c r="DQ175"/>
      <c r="DR175"/>
      <c r="DS175"/>
      <c r="DT175"/>
      <c r="DU175"/>
      <c r="DV175"/>
      <c r="DW175"/>
      <c r="DX175"/>
      <c r="DY175"/>
      <c r="DZ175"/>
      <c r="EA175"/>
      <c r="EB175"/>
      <c r="EC175"/>
      <c r="ED175"/>
      <c r="EE175"/>
      <c r="EF175"/>
      <c r="EG175"/>
      <c r="EH175"/>
      <c r="EI175"/>
      <c r="EJ175"/>
      <c r="EK175"/>
      <c r="EL175"/>
      <c r="EM175"/>
      <c r="EN175"/>
      <c r="EO175"/>
      <c r="EP175"/>
      <c r="EQ175"/>
      <c r="ER175"/>
      <c r="ES175"/>
      <c r="ET175"/>
      <c r="EU175"/>
      <c r="EV175"/>
      <c r="EW175"/>
      <c r="EX175"/>
      <c r="EY175"/>
      <c r="EZ175"/>
      <c r="FA175"/>
      <c r="FB175"/>
      <c r="FC175"/>
      <c r="FD175"/>
      <c r="FE175"/>
      <c r="FF175"/>
      <c r="FG175"/>
      <c r="FH175"/>
      <c r="FI175"/>
      <c r="FJ175"/>
      <c r="FK175"/>
      <c r="FL175"/>
      <c r="FM175"/>
      <c r="FN175"/>
      <c r="FO175"/>
      <c r="FP175"/>
      <c r="FQ175"/>
      <c r="FR175"/>
      <c r="FS175"/>
      <c r="FT175"/>
      <c r="FU175"/>
      <c r="FV175"/>
      <c r="FW175"/>
      <c r="FX175"/>
      <c r="FY175"/>
      <c r="FZ175"/>
      <c r="GA175"/>
      <c r="GB175"/>
      <c r="GC175"/>
      <c r="GD175"/>
      <c r="GE175"/>
      <c r="GF175"/>
      <c r="GG175"/>
      <c r="GH175"/>
      <c r="GI175"/>
      <c r="GJ175"/>
      <c r="GK175"/>
    </row>
    <row r="176" spans="1:193" ht="18" hidden="1" customHeight="1" x14ac:dyDescent="0.25">
      <c r="A176" s="8" t="s">
        <v>177</v>
      </c>
      <c r="B176" s="8">
        <v>1128</v>
      </c>
      <c r="C176" s="8">
        <v>2</v>
      </c>
      <c r="D176" s="8">
        <v>986</v>
      </c>
      <c r="E176" s="8">
        <v>140</v>
      </c>
      <c r="F176" s="8">
        <v>45867852</v>
      </c>
      <c r="G176" s="8" t="s">
        <v>197</v>
      </c>
      <c r="H176" s="1">
        <v>43912</v>
      </c>
      <c r="I176" s="14">
        <f t="shared" si="6"/>
        <v>1.7730496453900709E-3</v>
      </c>
      <c r="J176" s="14">
        <f t="shared" si="7"/>
        <v>0.87411347517730498</v>
      </c>
      <c r="K176" s="17">
        <f t="shared" si="8"/>
        <v>2.4592387714166339E-5</v>
      </c>
      <c r="L176" s="8" t="str" cm="1">
        <f t="array" ref="L176">_xlfn.IFS(I176&gt;5%,"High Risk",AND(I176&gt;2%,I176&lt;5%),"Modrate Risk",I176&lt;2%, "Low Risk")</f>
        <v>Low Risk</v>
      </c>
      <c r="N176"/>
      <c r="O176"/>
      <c r="P176"/>
      <c r="Q176"/>
      <c r="R176"/>
      <c r="S176"/>
      <c r="T176"/>
      <c r="U176"/>
      <c r="V176"/>
      <c r="W176"/>
      <c r="X176"/>
      <c r="Y176"/>
      <c r="Z176"/>
      <c r="AA176"/>
      <c r="AB176"/>
      <c r="AC176"/>
      <c r="AD176"/>
      <c r="AE176"/>
      <c r="AF176"/>
      <c r="AG176"/>
      <c r="AH176"/>
      <c r="AI176"/>
      <c r="AJ176"/>
      <c r="AK176"/>
      <c r="AL176"/>
      <c r="AM176"/>
      <c r="AN176"/>
      <c r="AO176"/>
      <c r="AP176"/>
      <c r="AQ176"/>
      <c r="AR176"/>
      <c r="AS176"/>
      <c r="AT176"/>
      <c r="AU176"/>
      <c r="AV176"/>
      <c r="AW176"/>
      <c r="AX176"/>
      <c r="AY176"/>
      <c r="AZ176"/>
      <c r="BA176"/>
      <c r="BB176"/>
      <c r="BC176"/>
      <c r="BD176"/>
      <c r="BE176"/>
      <c r="BF176"/>
      <c r="BG176"/>
      <c r="BH176"/>
      <c r="BI176"/>
      <c r="BJ176"/>
      <c r="BK176"/>
      <c r="BL176"/>
      <c r="BM176"/>
      <c r="BN176"/>
      <c r="BO176"/>
      <c r="BP176"/>
      <c r="BQ176"/>
      <c r="BR176"/>
      <c r="BS176"/>
      <c r="BT176"/>
      <c r="BU176"/>
      <c r="BV176"/>
      <c r="BW176"/>
      <c r="BX176"/>
      <c r="BY176"/>
      <c r="BZ176"/>
      <c r="CA176"/>
      <c r="CB176"/>
      <c r="CC176"/>
      <c r="CD176"/>
      <c r="CE176"/>
      <c r="CF176"/>
      <c r="CG176"/>
      <c r="CH176"/>
      <c r="CI176"/>
      <c r="CJ176"/>
      <c r="CK176"/>
      <c r="CL176"/>
      <c r="CM176"/>
      <c r="CN176"/>
      <c r="CO176"/>
      <c r="CP176"/>
      <c r="CQ176"/>
      <c r="CR176"/>
      <c r="CS176"/>
      <c r="CT176"/>
      <c r="CU176"/>
      <c r="CV176"/>
      <c r="CW176"/>
      <c r="CX176"/>
      <c r="CY176"/>
      <c r="CZ176"/>
      <c r="DA176"/>
      <c r="DB176"/>
      <c r="DC176"/>
      <c r="DD176"/>
      <c r="DE176"/>
      <c r="DF176"/>
      <c r="DG176"/>
      <c r="DH176"/>
      <c r="DI176"/>
      <c r="DJ176"/>
      <c r="DK176"/>
      <c r="DL176"/>
      <c r="DM176"/>
      <c r="DN176"/>
      <c r="DO176"/>
      <c r="DP176"/>
      <c r="DQ176"/>
      <c r="DR176"/>
      <c r="DS176"/>
      <c r="DT176"/>
      <c r="DU176"/>
      <c r="DV176"/>
      <c r="DW176"/>
      <c r="DX176"/>
      <c r="DY176"/>
      <c r="DZ176"/>
      <c r="EA176"/>
      <c r="EB176"/>
      <c r="EC176"/>
      <c r="ED176"/>
      <c r="EE176"/>
      <c r="EF176"/>
      <c r="EG176"/>
      <c r="EH176"/>
      <c r="EI176"/>
      <c r="EJ176"/>
      <c r="EK176"/>
      <c r="EL176"/>
      <c r="EM176"/>
      <c r="EN176"/>
      <c r="EO176"/>
      <c r="EP176"/>
      <c r="EQ176"/>
      <c r="ER176"/>
      <c r="ES176"/>
      <c r="ET176"/>
      <c r="EU176"/>
      <c r="EV176"/>
      <c r="EW176"/>
      <c r="EX176"/>
      <c r="EY176"/>
      <c r="EZ176"/>
      <c r="FA176"/>
      <c r="FB176"/>
      <c r="FC176"/>
      <c r="FD176"/>
      <c r="FE176"/>
      <c r="FF176"/>
      <c r="FG176"/>
      <c r="FH176"/>
      <c r="FI176"/>
      <c r="FJ176"/>
      <c r="FK176"/>
      <c r="FL176"/>
      <c r="FM176"/>
      <c r="FN176"/>
      <c r="FO176"/>
      <c r="FP176"/>
      <c r="FQ176"/>
      <c r="FR176"/>
      <c r="FS176"/>
      <c r="FT176"/>
      <c r="FU176"/>
      <c r="FV176"/>
      <c r="FW176"/>
      <c r="FX176"/>
      <c r="FY176"/>
      <c r="FZ176"/>
      <c r="GA176"/>
      <c r="GB176"/>
      <c r="GC176"/>
      <c r="GD176"/>
      <c r="GE176"/>
      <c r="GF176"/>
      <c r="GG176"/>
      <c r="GH176"/>
      <c r="GI176"/>
      <c r="GJ176"/>
      <c r="GK176"/>
    </row>
    <row r="177" spans="1:193" ht="18" hidden="1" customHeight="1" x14ac:dyDescent="0.25">
      <c r="A177" s="9" t="s">
        <v>178</v>
      </c>
      <c r="B177" s="9">
        <v>67096</v>
      </c>
      <c r="C177" s="9">
        <v>1636</v>
      </c>
      <c r="D177" s="9">
        <v>37202</v>
      </c>
      <c r="E177" s="9">
        <v>28258</v>
      </c>
      <c r="F177" s="9">
        <v>43705858</v>
      </c>
      <c r="G177" s="9" t="s">
        <v>196</v>
      </c>
      <c r="H177" s="10">
        <v>43893</v>
      </c>
      <c r="I177" s="15">
        <f t="shared" si="6"/>
        <v>2.4382973649695959E-2</v>
      </c>
      <c r="J177" s="15">
        <f t="shared" si="7"/>
        <v>0.55445928222248719</v>
      </c>
      <c r="K177" s="18">
        <f t="shared" si="8"/>
        <v>1.5351717840661086E-3</v>
      </c>
      <c r="L177" s="9" t="str" cm="1">
        <f t="array" ref="L177">_xlfn.IFS(I177&gt;5%,"High Risk",AND(I177&gt;2%,I177&lt;5%),"Modrate Risk",I177&lt;2%, "Low Risk")</f>
        <v>Modrate Risk</v>
      </c>
      <c r="N177"/>
      <c r="O177"/>
      <c r="P177"/>
      <c r="Q177"/>
      <c r="R177"/>
      <c r="S177"/>
      <c r="T177"/>
      <c r="U177"/>
      <c r="V177"/>
      <c r="W177"/>
      <c r="X177"/>
      <c r="Y177"/>
      <c r="Z177"/>
      <c r="AA177"/>
      <c r="AB177"/>
      <c r="AC177"/>
      <c r="AD177"/>
      <c r="AE177"/>
      <c r="AF177"/>
      <c r="AG177"/>
      <c r="AH177"/>
      <c r="AI177"/>
      <c r="AJ177"/>
      <c r="AK177"/>
      <c r="AL177"/>
      <c r="AM177"/>
      <c r="AN177"/>
      <c r="AO177"/>
      <c r="AP177"/>
      <c r="AQ177"/>
      <c r="AR177"/>
      <c r="AS177"/>
      <c r="AT177"/>
      <c r="AU177"/>
      <c r="AV177"/>
      <c r="AW177"/>
      <c r="AX177"/>
      <c r="AY177"/>
      <c r="AZ177"/>
      <c r="BA177"/>
      <c r="BB177"/>
      <c r="BC177"/>
      <c r="BD177"/>
      <c r="BE177"/>
      <c r="BF177"/>
      <c r="BG177"/>
      <c r="BH177"/>
      <c r="BI177"/>
      <c r="BJ177"/>
      <c r="BK177"/>
      <c r="BL177"/>
      <c r="BM177"/>
      <c r="BN177"/>
      <c r="BO177"/>
      <c r="BP177"/>
      <c r="BQ177"/>
      <c r="BR177"/>
      <c r="BS177"/>
      <c r="BT177"/>
      <c r="BU177"/>
      <c r="BV177"/>
      <c r="BW177"/>
      <c r="BX177"/>
      <c r="BY177"/>
      <c r="BZ177"/>
      <c r="CA177"/>
      <c r="CB177"/>
      <c r="CC177"/>
      <c r="CD177"/>
      <c r="CE177"/>
      <c r="CF177"/>
      <c r="CG177"/>
      <c r="CH177"/>
      <c r="CI177"/>
      <c r="CJ177"/>
      <c r="CK177"/>
      <c r="CL177"/>
      <c r="CM177"/>
      <c r="CN177"/>
      <c r="CO177"/>
      <c r="CP177"/>
      <c r="CQ177"/>
      <c r="CR177"/>
      <c r="CS177"/>
      <c r="CT177"/>
      <c r="CU177"/>
      <c r="CV177"/>
      <c r="CW177"/>
      <c r="CX177"/>
      <c r="CY177"/>
      <c r="CZ177"/>
      <c r="DA177"/>
      <c r="DB177"/>
      <c r="DC177"/>
      <c r="DD177"/>
      <c r="DE177"/>
      <c r="DF177"/>
      <c r="DG177"/>
      <c r="DH177"/>
      <c r="DI177"/>
      <c r="DJ177"/>
      <c r="DK177"/>
      <c r="DL177"/>
      <c r="DM177"/>
      <c r="DN177"/>
      <c r="DO177"/>
      <c r="DP177"/>
      <c r="DQ177"/>
      <c r="DR177"/>
      <c r="DS177"/>
      <c r="DT177"/>
      <c r="DU177"/>
      <c r="DV177"/>
      <c r="DW177"/>
      <c r="DX177"/>
      <c r="DY177"/>
      <c r="DZ177"/>
      <c r="EA177"/>
      <c r="EB177"/>
      <c r="EC177"/>
      <c r="ED177"/>
      <c r="EE177"/>
      <c r="EF177"/>
      <c r="EG177"/>
      <c r="EH177"/>
      <c r="EI177"/>
      <c r="EJ177"/>
      <c r="EK177"/>
      <c r="EL177"/>
      <c r="EM177"/>
      <c r="EN177"/>
      <c r="EO177"/>
      <c r="EP177"/>
      <c r="EQ177"/>
      <c r="ER177"/>
      <c r="ES177"/>
      <c r="ET177"/>
      <c r="EU177"/>
      <c r="EV177"/>
      <c r="EW177"/>
      <c r="EX177"/>
      <c r="EY177"/>
      <c r="EZ177"/>
      <c r="FA177"/>
      <c r="FB177"/>
      <c r="FC177"/>
      <c r="FD177"/>
      <c r="FE177"/>
      <c r="FF177"/>
      <c r="FG177"/>
      <c r="FH177"/>
      <c r="FI177"/>
      <c r="FJ177"/>
      <c r="FK177"/>
      <c r="FL177"/>
      <c r="FM177"/>
      <c r="FN177"/>
      <c r="FO177"/>
      <c r="FP177"/>
      <c r="FQ177"/>
      <c r="FR177"/>
      <c r="FS177"/>
      <c r="FT177"/>
      <c r="FU177"/>
      <c r="FV177"/>
      <c r="FW177"/>
      <c r="FX177"/>
      <c r="FY177"/>
      <c r="FZ177"/>
      <c r="GA177"/>
      <c r="GB177"/>
      <c r="GC177"/>
      <c r="GD177"/>
      <c r="GE177"/>
      <c r="GF177"/>
      <c r="GG177"/>
      <c r="GH177"/>
      <c r="GI177"/>
      <c r="GJ177"/>
      <c r="GK177"/>
    </row>
    <row r="178" spans="1:193" ht="18" hidden="1" customHeight="1" x14ac:dyDescent="0.25">
      <c r="A178" s="8" t="s">
        <v>179</v>
      </c>
      <c r="B178" s="8">
        <v>59177</v>
      </c>
      <c r="C178" s="8">
        <v>345</v>
      </c>
      <c r="D178" s="8">
        <v>52510</v>
      </c>
      <c r="E178" s="8">
        <v>6322</v>
      </c>
      <c r="F178" s="8">
        <v>9902079</v>
      </c>
      <c r="G178" s="8" t="s">
        <v>195</v>
      </c>
      <c r="H178" s="1">
        <v>43859</v>
      </c>
      <c r="I178" s="14">
        <f t="shared" si="6"/>
        <v>5.8299677239468037E-3</v>
      </c>
      <c r="J178" s="14">
        <f t="shared" si="7"/>
        <v>0.88733798604187442</v>
      </c>
      <c r="K178" s="17">
        <f t="shared" si="8"/>
        <v>5.9762197413290681E-3</v>
      </c>
      <c r="L178" s="8" t="str" cm="1">
        <f t="array" ref="L178">_xlfn.IFS(I178&gt;5%,"High Risk",AND(I178&gt;2%,I178&lt;5%),"Modrate Risk",I178&lt;2%, "Low Risk")</f>
        <v>Low Risk</v>
      </c>
      <c r="N178"/>
      <c r="O178"/>
      <c r="P178"/>
      <c r="Q178"/>
      <c r="R178"/>
      <c r="S178"/>
      <c r="T178"/>
      <c r="U178"/>
      <c r="V178"/>
      <c r="W178"/>
      <c r="X178"/>
      <c r="Y178"/>
      <c r="Z178"/>
      <c r="AA178"/>
      <c r="AB178"/>
      <c r="AC178"/>
      <c r="AD178"/>
      <c r="AE178"/>
      <c r="AF178"/>
      <c r="AG178"/>
      <c r="AH178"/>
      <c r="AI178"/>
      <c r="AJ178"/>
      <c r="AK178"/>
      <c r="AL178"/>
      <c r="AM178"/>
      <c r="AN178"/>
      <c r="AO178"/>
      <c r="AP178"/>
      <c r="AQ178"/>
      <c r="AR178"/>
      <c r="AS178"/>
      <c r="AT178"/>
      <c r="AU178"/>
      <c r="AV178"/>
      <c r="AW178"/>
      <c r="AX178"/>
      <c r="AY178"/>
      <c r="AZ178"/>
      <c r="BA178"/>
      <c r="BB178"/>
      <c r="BC178"/>
      <c r="BD178"/>
      <c r="BE178"/>
      <c r="BF178"/>
      <c r="BG178"/>
      <c r="BH178"/>
      <c r="BI178"/>
      <c r="BJ178"/>
      <c r="BK178"/>
      <c r="BL178"/>
      <c r="BM178"/>
      <c r="BN178"/>
      <c r="BO178"/>
      <c r="BP178"/>
      <c r="BQ178"/>
      <c r="BR178"/>
      <c r="BS178"/>
      <c r="BT178"/>
      <c r="BU178"/>
      <c r="BV178"/>
      <c r="BW178"/>
      <c r="BX178"/>
      <c r="BY178"/>
      <c r="BZ178"/>
      <c r="CA178"/>
      <c r="CB178"/>
      <c r="CC178"/>
      <c r="CD178"/>
      <c r="CE178"/>
      <c r="CF178"/>
      <c r="CG178"/>
      <c r="CH178"/>
      <c r="CI178"/>
      <c r="CJ178"/>
      <c r="CK178"/>
      <c r="CL178"/>
      <c r="CM178"/>
      <c r="CN178"/>
      <c r="CO178"/>
      <c r="CP178"/>
      <c r="CQ178"/>
      <c r="CR178"/>
      <c r="CS178"/>
      <c r="CT178"/>
      <c r="CU178"/>
      <c r="CV178"/>
      <c r="CW178"/>
      <c r="CX178"/>
      <c r="CY178"/>
      <c r="CZ178"/>
      <c r="DA178"/>
      <c r="DB178"/>
      <c r="DC178"/>
      <c r="DD178"/>
      <c r="DE178"/>
      <c r="DF178"/>
      <c r="DG178"/>
      <c r="DH178"/>
      <c r="DI178"/>
      <c r="DJ178"/>
      <c r="DK178"/>
      <c r="DL178"/>
      <c r="DM178"/>
      <c r="DN178"/>
      <c r="DO178"/>
      <c r="DP178"/>
      <c r="DQ178"/>
      <c r="DR178"/>
      <c r="DS178"/>
      <c r="DT178"/>
      <c r="DU178"/>
      <c r="DV178"/>
      <c r="DW178"/>
      <c r="DX178"/>
      <c r="DY178"/>
      <c r="DZ178"/>
      <c r="EA178"/>
      <c r="EB178"/>
      <c r="EC178"/>
      <c r="ED178"/>
      <c r="EE178"/>
      <c r="EF178"/>
      <c r="EG178"/>
      <c r="EH178"/>
      <c r="EI178"/>
      <c r="EJ178"/>
      <c r="EK178"/>
      <c r="EL178"/>
      <c r="EM178"/>
      <c r="EN178"/>
      <c r="EO178"/>
      <c r="EP178"/>
      <c r="EQ178"/>
      <c r="ER178"/>
      <c r="ES178"/>
      <c r="ET178"/>
      <c r="EU178"/>
      <c r="EV178"/>
      <c r="EW178"/>
      <c r="EX178"/>
      <c r="EY178"/>
      <c r="EZ178"/>
      <c r="FA178"/>
      <c r="FB178"/>
      <c r="FC178"/>
      <c r="FD178"/>
      <c r="FE178"/>
      <c r="FF178"/>
      <c r="FG178"/>
      <c r="FH178"/>
      <c r="FI178"/>
      <c r="FJ178"/>
      <c r="FK178"/>
      <c r="FL178"/>
      <c r="FM178"/>
      <c r="FN178"/>
      <c r="FO178"/>
      <c r="FP178"/>
      <c r="FQ178"/>
      <c r="FR178"/>
      <c r="FS178"/>
      <c r="FT178"/>
      <c r="FU178"/>
      <c r="FV178"/>
      <c r="FW178"/>
      <c r="FX178"/>
      <c r="FY178"/>
      <c r="FZ178"/>
      <c r="GA178"/>
      <c r="GB178"/>
      <c r="GC178"/>
      <c r="GD178"/>
      <c r="GE178"/>
      <c r="GF178"/>
      <c r="GG178"/>
      <c r="GH178"/>
      <c r="GI178"/>
      <c r="GJ178"/>
      <c r="GK178"/>
    </row>
    <row r="179" spans="1:193" ht="18" customHeight="1" x14ac:dyDescent="0.25">
      <c r="A179" s="9" t="s">
        <v>180</v>
      </c>
      <c r="B179" s="9">
        <v>301708</v>
      </c>
      <c r="C179" s="9">
        <v>45844</v>
      </c>
      <c r="D179" s="9">
        <v>1437</v>
      </c>
      <c r="E179" s="9">
        <v>254427</v>
      </c>
      <c r="F179" s="9">
        <v>67922029</v>
      </c>
      <c r="G179" s="9" t="s">
        <v>196</v>
      </c>
      <c r="H179" s="10">
        <v>43861</v>
      </c>
      <c r="I179" s="15">
        <f t="shared" si="6"/>
        <v>0.15194824134593712</v>
      </c>
      <c r="J179" s="15">
        <f t="shared" si="7"/>
        <v>4.7628833176448756E-3</v>
      </c>
      <c r="K179" s="18">
        <f t="shared" si="8"/>
        <v>4.4419756659507328E-3</v>
      </c>
      <c r="L179" s="9" t="str" cm="1">
        <f t="array" ref="L179">_xlfn.IFS(I179&gt;5%,"High Risk",AND(I179&gt;2%,I179&lt;5%),"Modrate Risk",I179&lt;2%, "Low Risk")</f>
        <v>High Risk</v>
      </c>
      <c r="N179"/>
      <c r="O179"/>
      <c r="P179"/>
      <c r="Q179"/>
      <c r="R179"/>
      <c r="S179"/>
      <c r="T179"/>
      <c r="U179"/>
      <c r="V179"/>
      <c r="W179"/>
      <c r="X179"/>
      <c r="Y179"/>
      <c r="Z179"/>
      <c r="AA179"/>
      <c r="AB179"/>
      <c r="AC179"/>
      <c r="AD179"/>
      <c r="AE179"/>
      <c r="AF179"/>
      <c r="AG179"/>
      <c r="AH179"/>
      <c r="AI179"/>
      <c r="AJ179"/>
      <c r="AK179"/>
      <c r="AL179"/>
      <c r="AM179"/>
      <c r="AN179"/>
      <c r="AO179"/>
      <c r="AP179"/>
      <c r="AQ179"/>
      <c r="AR179"/>
      <c r="AS179"/>
      <c r="AT179"/>
      <c r="AU179"/>
      <c r="AV179"/>
      <c r="AW179"/>
      <c r="AX179"/>
      <c r="AY179"/>
      <c r="AZ179"/>
      <c r="BA179"/>
      <c r="BB179"/>
      <c r="BC179"/>
      <c r="BD179"/>
      <c r="BE179"/>
      <c r="BF179"/>
      <c r="BG179"/>
      <c r="BH179"/>
      <c r="BI179"/>
      <c r="BJ179"/>
      <c r="BK179"/>
      <c r="BL179"/>
      <c r="BM179"/>
      <c r="BN179"/>
      <c r="BO179"/>
      <c r="BP179"/>
      <c r="BQ179"/>
      <c r="BR179"/>
      <c r="BS179"/>
      <c r="BT179"/>
      <c r="BU179"/>
      <c r="BV179"/>
      <c r="BW179"/>
      <c r="BX179"/>
      <c r="BY179"/>
      <c r="BZ179"/>
      <c r="CA179"/>
      <c r="CB179"/>
      <c r="CC179"/>
      <c r="CD179"/>
      <c r="CE179"/>
      <c r="CF179"/>
      <c r="CG179"/>
      <c r="CH179"/>
      <c r="CI179"/>
      <c r="CJ179"/>
      <c r="CK179"/>
      <c r="CL179"/>
      <c r="CM179"/>
      <c r="CN179"/>
      <c r="CO179"/>
      <c r="CP179"/>
      <c r="CQ179"/>
      <c r="CR179"/>
      <c r="CS179"/>
      <c r="CT179"/>
      <c r="CU179"/>
      <c r="CV179"/>
      <c r="CW179"/>
      <c r="CX179"/>
      <c r="CY179"/>
      <c r="CZ179"/>
      <c r="DA179"/>
      <c r="DB179"/>
      <c r="DC179"/>
      <c r="DD179"/>
      <c r="DE179"/>
      <c r="DF179"/>
      <c r="DG179"/>
      <c r="DH179"/>
      <c r="DI179"/>
      <c r="DJ179"/>
      <c r="DK179"/>
      <c r="DL179"/>
      <c r="DM179"/>
      <c r="DN179"/>
      <c r="DO179"/>
      <c r="DP179"/>
      <c r="DQ179"/>
      <c r="DR179"/>
      <c r="DS179"/>
      <c r="DT179"/>
      <c r="DU179"/>
      <c r="DV179"/>
      <c r="DW179"/>
      <c r="DX179"/>
      <c r="DY179"/>
      <c r="DZ179"/>
      <c r="EA179"/>
      <c r="EB179"/>
      <c r="EC179"/>
      <c r="ED179"/>
      <c r="EE179"/>
      <c r="EF179"/>
      <c r="EG179"/>
      <c r="EH179"/>
      <c r="EI179"/>
      <c r="EJ179"/>
      <c r="EK179"/>
      <c r="EL179"/>
      <c r="EM179"/>
      <c r="EN179"/>
      <c r="EO179"/>
      <c r="EP179"/>
      <c r="EQ179"/>
      <c r="ER179"/>
      <c r="ES179"/>
      <c r="ET179"/>
      <c r="EU179"/>
      <c r="EV179"/>
      <c r="EW179"/>
      <c r="EX179"/>
      <c r="EY179"/>
      <c r="EZ179"/>
      <c r="FA179"/>
      <c r="FB179"/>
      <c r="FC179"/>
      <c r="FD179"/>
      <c r="FE179"/>
      <c r="FF179"/>
      <c r="FG179"/>
      <c r="FH179"/>
      <c r="FI179"/>
      <c r="FJ179"/>
      <c r="FK179"/>
      <c r="FL179"/>
      <c r="FM179"/>
      <c r="FN179"/>
      <c r="FO179"/>
      <c r="FP179"/>
      <c r="FQ179"/>
      <c r="FR179"/>
      <c r="FS179"/>
      <c r="FT179"/>
      <c r="FU179"/>
      <c r="FV179"/>
      <c r="FW179"/>
      <c r="FX179"/>
      <c r="FY179"/>
      <c r="FZ179"/>
      <c r="GA179"/>
      <c r="GB179"/>
      <c r="GC179"/>
      <c r="GD179"/>
      <c r="GE179"/>
      <c r="GF179"/>
      <c r="GG179"/>
      <c r="GH179"/>
      <c r="GI179"/>
      <c r="GJ179"/>
      <c r="GK179"/>
    </row>
    <row r="180" spans="1:193" ht="18" hidden="1" customHeight="1" x14ac:dyDescent="0.25">
      <c r="A180" s="8" t="s">
        <v>181</v>
      </c>
      <c r="B180" s="8">
        <v>1202</v>
      </c>
      <c r="C180" s="8">
        <v>35</v>
      </c>
      <c r="D180" s="8">
        <v>951</v>
      </c>
      <c r="E180" s="8">
        <v>216</v>
      </c>
      <c r="F180" s="8">
        <v>3474956</v>
      </c>
      <c r="G180" s="8" t="s">
        <v>199</v>
      </c>
      <c r="H180" s="1">
        <v>43903</v>
      </c>
      <c r="I180" s="14">
        <f t="shared" si="6"/>
        <v>2.9118136439267885E-2</v>
      </c>
      <c r="J180" s="14">
        <f t="shared" si="7"/>
        <v>0.79118136439267883</v>
      </c>
      <c r="K180" s="17">
        <f t="shared" si="8"/>
        <v>3.4590366036289381E-4</v>
      </c>
      <c r="L180" s="8" t="str" cm="1">
        <f t="array" ref="L180">_xlfn.IFS(I180&gt;5%,"High Risk",AND(I180&gt;2%,I180&lt;5%),"Modrate Risk",I180&lt;2%, "Low Risk")</f>
        <v>Modrate Risk</v>
      </c>
      <c r="N180"/>
      <c r="O180"/>
      <c r="P180"/>
      <c r="Q180"/>
      <c r="R180"/>
      <c r="S180"/>
      <c r="T180"/>
      <c r="U180"/>
      <c r="V180"/>
      <c r="W180"/>
      <c r="X180"/>
      <c r="Y180"/>
      <c r="Z180"/>
      <c r="AA180"/>
      <c r="AB180"/>
      <c r="AC180"/>
      <c r="AD180"/>
      <c r="AE180"/>
      <c r="AF180"/>
      <c r="AG180"/>
      <c r="AH180"/>
      <c r="AI180"/>
      <c r="AJ180"/>
      <c r="AK180"/>
      <c r="AL180"/>
      <c r="AM180"/>
      <c r="AN180"/>
      <c r="AO180"/>
      <c r="AP180"/>
      <c r="AQ180"/>
      <c r="AR180"/>
      <c r="AS180"/>
      <c r="AT180"/>
      <c r="AU180"/>
      <c r="AV180"/>
      <c r="AW180"/>
      <c r="AX180"/>
      <c r="AY180"/>
      <c r="AZ180"/>
      <c r="BA180"/>
      <c r="BB180"/>
      <c r="BC180"/>
      <c r="BD180"/>
      <c r="BE180"/>
      <c r="BF180"/>
      <c r="BG180"/>
      <c r="BH180"/>
      <c r="BI180"/>
      <c r="BJ180"/>
      <c r="BK180"/>
      <c r="BL180"/>
      <c r="BM180"/>
      <c r="BN180"/>
      <c r="BO180"/>
      <c r="BP180"/>
      <c r="BQ180"/>
      <c r="BR180"/>
      <c r="BS180"/>
      <c r="BT180"/>
      <c r="BU180"/>
      <c r="BV180"/>
      <c r="BW180"/>
      <c r="BX180"/>
      <c r="BY180"/>
      <c r="BZ180"/>
      <c r="CA180"/>
      <c r="CB180"/>
      <c r="CC180"/>
      <c r="CD180"/>
      <c r="CE180"/>
      <c r="CF180"/>
      <c r="CG180"/>
      <c r="CH180"/>
      <c r="CI180"/>
      <c r="CJ180"/>
      <c r="CK180"/>
      <c r="CL180"/>
      <c r="CM180"/>
      <c r="CN180"/>
      <c r="CO180"/>
      <c r="CP180"/>
      <c r="CQ180"/>
      <c r="CR180"/>
      <c r="CS180"/>
      <c r="CT180"/>
      <c r="CU180"/>
      <c r="CV180"/>
      <c r="CW180"/>
      <c r="CX180"/>
      <c r="CY180"/>
      <c r="CZ180"/>
      <c r="DA180"/>
      <c r="DB180"/>
      <c r="DC180"/>
      <c r="DD180"/>
      <c r="DE180"/>
      <c r="DF180"/>
      <c r="DG180"/>
      <c r="DH180"/>
      <c r="DI180"/>
      <c r="DJ180"/>
      <c r="DK180"/>
      <c r="DL180"/>
      <c r="DM180"/>
      <c r="DN180"/>
      <c r="DO180"/>
      <c r="DP180"/>
      <c r="DQ180"/>
      <c r="DR180"/>
      <c r="DS180"/>
      <c r="DT180"/>
      <c r="DU180"/>
      <c r="DV180"/>
      <c r="DW180"/>
      <c r="DX180"/>
      <c r="DY180"/>
      <c r="DZ180"/>
      <c r="EA180"/>
      <c r="EB180"/>
      <c r="EC180"/>
      <c r="ED180"/>
      <c r="EE180"/>
      <c r="EF180"/>
      <c r="EG180"/>
      <c r="EH180"/>
      <c r="EI180"/>
      <c r="EJ180"/>
      <c r="EK180"/>
      <c r="EL180"/>
      <c r="EM180"/>
      <c r="EN180"/>
      <c r="EO180"/>
      <c r="EP180"/>
      <c r="EQ180"/>
      <c r="ER180"/>
      <c r="ES180"/>
      <c r="ET180"/>
      <c r="EU180"/>
      <c r="EV180"/>
      <c r="EW180"/>
      <c r="EX180"/>
      <c r="EY180"/>
      <c r="EZ180"/>
      <c r="FA180"/>
      <c r="FB180"/>
      <c r="FC180"/>
      <c r="FD180"/>
      <c r="FE180"/>
      <c r="FF180"/>
      <c r="FG180"/>
      <c r="FH180"/>
      <c r="FI180"/>
      <c r="FJ180"/>
      <c r="FK180"/>
      <c r="FL180"/>
      <c r="FM180"/>
      <c r="FN180"/>
      <c r="FO180"/>
      <c r="FP180"/>
      <c r="FQ180"/>
      <c r="FR180"/>
      <c r="FS180"/>
      <c r="FT180"/>
      <c r="FU180"/>
      <c r="FV180"/>
      <c r="FW180"/>
      <c r="FX180"/>
      <c r="FY180"/>
      <c r="FZ180"/>
      <c r="GA180"/>
      <c r="GB180"/>
      <c r="GC180"/>
      <c r="GD180"/>
      <c r="GE180"/>
      <c r="GF180"/>
      <c r="GG180"/>
      <c r="GH180"/>
      <c r="GI180"/>
      <c r="GJ180"/>
      <c r="GK180"/>
    </row>
    <row r="181" spans="1:193" ht="18" hidden="1" customHeight="1" x14ac:dyDescent="0.25">
      <c r="A181" s="9" t="s">
        <v>182</v>
      </c>
      <c r="B181" s="9">
        <v>21209</v>
      </c>
      <c r="C181" s="9">
        <v>121</v>
      </c>
      <c r="D181" s="9">
        <v>11674</v>
      </c>
      <c r="E181" s="9">
        <v>9414</v>
      </c>
      <c r="F181" s="9">
        <v>33516027</v>
      </c>
      <c r="G181" s="9" t="s">
        <v>195</v>
      </c>
      <c r="H181" s="10">
        <v>43905</v>
      </c>
      <c r="I181" s="15">
        <f t="shared" si="6"/>
        <v>5.7051251827054551E-3</v>
      </c>
      <c r="J181" s="15">
        <f t="shared" si="7"/>
        <v>0.55042670564383045</v>
      </c>
      <c r="K181" s="18">
        <f t="shared" si="8"/>
        <v>6.3280173392866643E-4</v>
      </c>
      <c r="L181" s="9" t="str" cm="1">
        <f t="array" ref="L181">_xlfn.IFS(I181&gt;5%,"High Risk",AND(I181&gt;2%,I181&lt;5%),"Modrate Risk",I181&lt;2%, "Low Risk")</f>
        <v>Low Risk</v>
      </c>
      <c r="N181"/>
      <c r="O181"/>
      <c r="P181"/>
      <c r="Q181"/>
      <c r="R181"/>
      <c r="S181"/>
      <c r="T181"/>
      <c r="U181"/>
      <c r="V181"/>
      <c r="W181"/>
      <c r="X181"/>
      <c r="Y181"/>
      <c r="Z181"/>
      <c r="AA181"/>
      <c r="AB181"/>
      <c r="AC181"/>
      <c r="AD181"/>
      <c r="AE181"/>
      <c r="AF181"/>
      <c r="AG181"/>
      <c r="AH181"/>
      <c r="AI181"/>
      <c r="AJ181"/>
      <c r="AK181"/>
      <c r="AL181"/>
      <c r="AM181"/>
      <c r="AN181"/>
      <c r="AO181"/>
      <c r="AP181"/>
      <c r="AQ181"/>
      <c r="AR181"/>
      <c r="AS181"/>
      <c r="AT181"/>
      <c r="AU181"/>
      <c r="AV181"/>
      <c r="AW181"/>
      <c r="AX181"/>
      <c r="AY181"/>
      <c r="AZ181"/>
      <c r="BA181"/>
      <c r="BB181"/>
      <c r="BC181"/>
      <c r="BD181"/>
      <c r="BE181"/>
      <c r="BF181"/>
      <c r="BG181"/>
      <c r="BH181"/>
      <c r="BI181"/>
      <c r="BJ181"/>
      <c r="BK181"/>
      <c r="BL181"/>
      <c r="BM181"/>
      <c r="BN181"/>
      <c r="BO181"/>
      <c r="BP181"/>
      <c r="BQ181"/>
      <c r="BR181"/>
      <c r="BS181"/>
      <c r="BT181"/>
      <c r="BU181"/>
      <c r="BV181"/>
      <c r="BW181"/>
      <c r="BX181"/>
      <c r="BY181"/>
      <c r="BZ181"/>
      <c r="CA181"/>
      <c r="CB181"/>
      <c r="CC181"/>
      <c r="CD181"/>
      <c r="CE181"/>
      <c r="CF181"/>
      <c r="CG181"/>
      <c r="CH181"/>
      <c r="CI181"/>
      <c r="CJ181"/>
      <c r="CK181"/>
      <c r="CL181"/>
      <c r="CM181"/>
      <c r="CN181"/>
      <c r="CO181"/>
      <c r="CP181"/>
      <c r="CQ181"/>
      <c r="CR181"/>
      <c r="CS181"/>
      <c r="CT181"/>
      <c r="CU181"/>
      <c r="CV181"/>
      <c r="CW181"/>
      <c r="CX181"/>
      <c r="CY181"/>
      <c r="CZ181"/>
      <c r="DA181"/>
      <c r="DB181"/>
      <c r="DC181"/>
      <c r="DD181"/>
      <c r="DE181"/>
      <c r="DF181"/>
      <c r="DG181"/>
      <c r="DH181"/>
      <c r="DI181"/>
      <c r="DJ181"/>
      <c r="DK181"/>
      <c r="DL181"/>
      <c r="DM181"/>
      <c r="DN181"/>
      <c r="DO181"/>
      <c r="DP181"/>
      <c r="DQ181"/>
      <c r="DR181"/>
      <c r="DS181"/>
      <c r="DT181"/>
      <c r="DU181"/>
      <c r="DV181"/>
      <c r="DW181"/>
      <c r="DX181"/>
      <c r="DY181"/>
      <c r="DZ181"/>
      <c r="EA181"/>
      <c r="EB181"/>
      <c r="EC181"/>
      <c r="ED181"/>
      <c r="EE181"/>
      <c r="EF181"/>
      <c r="EG181"/>
      <c r="EH181"/>
      <c r="EI181"/>
      <c r="EJ181"/>
      <c r="EK181"/>
      <c r="EL181"/>
      <c r="EM181"/>
      <c r="EN181"/>
      <c r="EO181"/>
      <c r="EP181"/>
      <c r="EQ181"/>
      <c r="ER181"/>
      <c r="ES181"/>
      <c r="ET181"/>
      <c r="EU181"/>
      <c r="EV181"/>
      <c r="EW181"/>
      <c r="EX181"/>
      <c r="EY181"/>
      <c r="EZ181"/>
      <c r="FA181"/>
      <c r="FB181"/>
      <c r="FC181"/>
      <c r="FD181"/>
      <c r="FE181"/>
      <c r="FF181"/>
      <c r="FG181"/>
      <c r="FH181"/>
      <c r="FI181"/>
      <c r="FJ181"/>
      <c r="FK181"/>
      <c r="FL181"/>
      <c r="FM181"/>
      <c r="FN181"/>
      <c r="FO181"/>
      <c r="FP181"/>
      <c r="FQ181"/>
      <c r="FR181"/>
      <c r="FS181"/>
      <c r="FT181"/>
      <c r="FU181"/>
      <c r="FV181"/>
      <c r="FW181"/>
      <c r="FX181"/>
      <c r="FY181"/>
      <c r="FZ181"/>
      <c r="GA181"/>
      <c r="GB181"/>
      <c r="GC181"/>
      <c r="GD181"/>
      <c r="GE181"/>
      <c r="GF181"/>
      <c r="GG181"/>
      <c r="GH181"/>
      <c r="GI181"/>
      <c r="GJ181"/>
      <c r="GK181"/>
    </row>
    <row r="182" spans="1:193" ht="18" hidden="1" customHeight="1" x14ac:dyDescent="0.25">
      <c r="A182" s="8" t="s">
        <v>183</v>
      </c>
      <c r="B182" s="8">
        <v>15988</v>
      </c>
      <c r="C182" s="8">
        <v>146</v>
      </c>
      <c r="D182" s="8">
        <v>9959</v>
      </c>
      <c r="E182" s="8">
        <v>5883</v>
      </c>
      <c r="F182" s="8">
        <v>28427499</v>
      </c>
      <c r="G182" s="8" t="s">
        <v>199</v>
      </c>
      <c r="H182" s="1">
        <v>43903</v>
      </c>
      <c r="I182" s="14">
        <f t="shared" si="6"/>
        <v>9.1318488866649981E-3</v>
      </c>
      <c r="J182" s="14">
        <f t="shared" si="7"/>
        <v>0.62290467850888165</v>
      </c>
      <c r="K182" s="17">
        <f t="shared" si="8"/>
        <v>5.624131760588577E-4</v>
      </c>
      <c r="L182" s="8" t="str" cm="1">
        <f t="array" ref="L182">_xlfn.IFS(I182&gt;5%,"High Risk",AND(I182&gt;2%,I182&lt;5%),"Modrate Risk",I182&lt;2%, "Low Risk")</f>
        <v>Low Risk</v>
      </c>
      <c r="N182"/>
      <c r="O182"/>
      <c r="P182"/>
      <c r="Q182"/>
      <c r="R182"/>
      <c r="S182"/>
      <c r="T182"/>
      <c r="U182"/>
      <c r="V182"/>
      <c r="W182"/>
      <c r="X182"/>
      <c r="Y182"/>
      <c r="Z182"/>
      <c r="AA182"/>
      <c r="AB182"/>
      <c r="AC182"/>
      <c r="AD182"/>
      <c r="AE182"/>
      <c r="AF182"/>
      <c r="AG182"/>
      <c r="AH182"/>
      <c r="AI182"/>
      <c r="AJ182"/>
      <c r="AK182"/>
      <c r="AL182"/>
      <c r="AM182"/>
      <c r="AN182"/>
      <c r="AO182"/>
      <c r="AP182"/>
      <c r="AQ182"/>
      <c r="AR182"/>
      <c r="AS182"/>
      <c r="AT182"/>
      <c r="AU182"/>
      <c r="AV182"/>
      <c r="AW182"/>
      <c r="AX182"/>
      <c r="AY182"/>
      <c r="AZ182"/>
      <c r="BA182"/>
      <c r="BB182"/>
      <c r="BC182"/>
      <c r="BD182"/>
      <c r="BE182"/>
      <c r="BF182"/>
      <c r="BG182"/>
      <c r="BH182"/>
      <c r="BI182"/>
      <c r="BJ182"/>
      <c r="BK182"/>
      <c r="BL182"/>
      <c r="BM182"/>
      <c r="BN182"/>
      <c r="BO182"/>
      <c r="BP182"/>
      <c r="BQ182"/>
      <c r="BR182"/>
      <c r="BS182"/>
      <c r="BT182"/>
      <c r="BU182"/>
      <c r="BV182"/>
      <c r="BW182"/>
      <c r="BX182"/>
      <c r="BY182"/>
      <c r="BZ182"/>
      <c r="CA182"/>
      <c r="CB182"/>
      <c r="CC182"/>
      <c r="CD182"/>
      <c r="CE182"/>
      <c r="CF182"/>
      <c r="CG182"/>
      <c r="CH182"/>
      <c r="CI182"/>
      <c r="CJ182"/>
      <c r="CK182"/>
      <c r="CL182"/>
      <c r="CM182"/>
      <c r="CN182"/>
      <c r="CO182"/>
      <c r="CP182"/>
      <c r="CQ182"/>
      <c r="CR182"/>
      <c r="CS182"/>
      <c r="CT182"/>
      <c r="CU182"/>
      <c r="CV182"/>
      <c r="CW182"/>
      <c r="CX182"/>
      <c r="CY182"/>
      <c r="CZ182"/>
      <c r="DA182"/>
      <c r="DB182"/>
      <c r="DC182"/>
      <c r="DD182"/>
      <c r="DE182"/>
      <c r="DF182"/>
      <c r="DG182"/>
      <c r="DH182"/>
      <c r="DI182"/>
      <c r="DJ182"/>
      <c r="DK182"/>
      <c r="DL182"/>
      <c r="DM182"/>
      <c r="DN182"/>
      <c r="DO182"/>
      <c r="DP182"/>
      <c r="DQ182"/>
      <c r="DR182"/>
      <c r="DS182"/>
      <c r="DT182"/>
      <c r="DU182"/>
      <c r="DV182"/>
      <c r="DW182"/>
      <c r="DX182"/>
      <c r="DY182"/>
      <c r="DZ182"/>
      <c r="EA182"/>
      <c r="EB182"/>
      <c r="EC182"/>
      <c r="ED182"/>
      <c r="EE182"/>
      <c r="EF182"/>
      <c r="EG182"/>
      <c r="EH182"/>
      <c r="EI182"/>
      <c r="EJ182"/>
      <c r="EK182"/>
      <c r="EL182"/>
      <c r="EM182"/>
      <c r="EN182"/>
      <c r="EO182"/>
      <c r="EP182"/>
      <c r="EQ182"/>
      <c r="ER182"/>
      <c r="ES182"/>
      <c r="ET182"/>
      <c r="EU182"/>
      <c r="EV182"/>
      <c r="EW182"/>
      <c r="EX182"/>
      <c r="EY182"/>
      <c r="EZ182"/>
      <c r="FA182"/>
      <c r="FB182"/>
      <c r="FC182"/>
      <c r="FD182"/>
      <c r="FE182"/>
      <c r="FF182"/>
      <c r="FG182"/>
      <c r="FH182"/>
      <c r="FI182"/>
      <c r="FJ182"/>
      <c r="FK182"/>
      <c r="FL182"/>
      <c r="FM182"/>
      <c r="FN182"/>
      <c r="FO182"/>
      <c r="FP182"/>
      <c r="FQ182"/>
      <c r="FR182"/>
      <c r="FS182"/>
      <c r="FT182"/>
      <c r="FU182"/>
      <c r="FV182"/>
      <c r="FW182"/>
      <c r="FX182"/>
      <c r="FY182"/>
      <c r="FZ182"/>
      <c r="GA182"/>
      <c r="GB182"/>
      <c r="GC182"/>
      <c r="GD182"/>
      <c r="GE182"/>
      <c r="GF182"/>
      <c r="GG182"/>
      <c r="GH182"/>
      <c r="GI182"/>
      <c r="GJ182"/>
      <c r="GK182"/>
    </row>
    <row r="183" spans="1:193" ht="18" hidden="1" customHeight="1" x14ac:dyDescent="0.25">
      <c r="A183" s="9" t="s">
        <v>184</v>
      </c>
      <c r="B183" s="9">
        <v>431</v>
      </c>
      <c r="C183" s="9">
        <v>0</v>
      </c>
      <c r="D183" s="9">
        <v>365</v>
      </c>
      <c r="E183" s="9">
        <v>66</v>
      </c>
      <c r="F183" s="9">
        <v>97425470</v>
      </c>
      <c r="G183" s="9" t="s">
        <v>195</v>
      </c>
      <c r="H183" s="10">
        <v>43853</v>
      </c>
      <c r="I183" s="15">
        <f t="shared" si="6"/>
        <v>0</v>
      </c>
      <c r="J183" s="15">
        <f t="shared" si="7"/>
        <v>0.84686774941995357</v>
      </c>
      <c r="K183" s="18">
        <f t="shared" si="8"/>
        <v>4.4238944908348918E-6</v>
      </c>
      <c r="L183" s="9" t="str" cm="1">
        <f t="array" ref="L183">_xlfn.IFS(I183&gt;5%,"High Risk",AND(I183&gt;2%,I183&lt;5%),"Modrate Risk",I183&lt;2%, "Low Risk")</f>
        <v>Low Risk</v>
      </c>
      <c r="N183"/>
      <c r="O183"/>
      <c r="P183"/>
      <c r="Q183"/>
      <c r="R183"/>
      <c r="S183"/>
      <c r="T183"/>
      <c r="U183"/>
      <c r="V183"/>
      <c r="W183"/>
      <c r="X183"/>
      <c r="Y183"/>
      <c r="Z183"/>
      <c r="AA183"/>
      <c r="AB183"/>
      <c r="AC183"/>
      <c r="AD183"/>
      <c r="AE183"/>
      <c r="AF183"/>
      <c r="AG183"/>
      <c r="AH183"/>
      <c r="AI183"/>
      <c r="AJ183"/>
      <c r="AK183"/>
      <c r="AL183"/>
      <c r="AM183"/>
      <c r="AN183"/>
      <c r="AO183"/>
      <c r="AP183"/>
      <c r="AQ183"/>
      <c r="AR183"/>
      <c r="AS183"/>
      <c r="AT183"/>
      <c r="AU183"/>
      <c r="AV183"/>
      <c r="AW183"/>
      <c r="AX183"/>
      <c r="AY183"/>
      <c r="AZ183"/>
      <c r="BA183"/>
      <c r="BB183"/>
      <c r="BC183"/>
      <c r="BD183"/>
      <c r="BE183"/>
      <c r="BF183"/>
      <c r="BG183"/>
      <c r="BH183"/>
      <c r="BI183"/>
      <c r="BJ183"/>
      <c r="BK183"/>
      <c r="BL183"/>
      <c r="BM183"/>
      <c r="BN183"/>
      <c r="BO183"/>
      <c r="BP183"/>
      <c r="BQ183"/>
      <c r="BR183"/>
      <c r="BS183"/>
      <c r="BT183"/>
      <c r="BU183"/>
      <c r="BV183"/>
      <c r="BW183"/>
      <c r="BX183"/>
      <c r="BY183"/>
      <c r="BZ183"/>
      <c r="CA183"/>
      <c r="CB183"/>
      <c r="CC183"/>
      <c r="CD183"/>
      <c r="CE183"/>
      <c r="CF183"/>
      <c r="CG183"/>
      <c r="CH183"/>
      <c r="CI183"/>
      <c r="CJ183"/>
      <c r="CK183"/>
      <c r="CL183"/>
      <c r="CM183"/>
      <c r="CN183"/>
      <c r="CO183"/>
      <c r="CP183"/>
      <c r="CQ183"/>
      <c r="CR183"/>
      <c r="CS183"/>
      <c r="CT183"/>
      <c r="CU183"/>
      <c r="CV183"/>
      <c r="CW183"/>
      <c r="CX183"/>
      <c r="CY183"/>
      <c r="CZ183"/>
      <c r="DA183"/>
      <c r="DB183"/>
      <c r="DC183"/>
      <c r="DD183"/>
      <c r="DE183"/>
      <c r="DF183"/>
      <c r="DG183"/>
      <c r="DH183"/>
      <c r="DI183"/>
      <c r="DJ183"/>
      <c r="DK183"/>
      <c r="DL183"/>
      <c r="DM183"/>
      <c r="DN183"/>
      <c r="DO183"/>
      <c r="DP183"/>
      <c r="DQ183"/>
      <c r="DR183"/>
      <c r="DS183"/>
      <c r="DT183"/>
      <c r="DU183"/>
      <c r="DV183"/>
      <c r="DW183"/>
      <c r="DX183"/>
      <c r="DY183"/>
      <c r="DZ183"/>
      <c r="EA183"/>
      <c r="EB183"/>
      <c r="EC183"/>
      <c r="ED183"/>
      <c r="EE183"/>
      <c r="EF183"/>
      <c r="EG183"/>
      <c r="EH183"/>
      <c r="EI183"/>
      <c r="EJ183"/>
      <c r="EK183"/>
      <c r="EL183"/>
      <c r="EM183"/>
      <c r="EN183"/>
      <c r="EO183"/>
      <c r="EP183"/>
      <c r="EQ183"/>
      <c r="ER183"/>
      <c r="ES183"/>
      <c r="ET183"/>
      <c r="EU183"/>
      <c r="EV183"/>
      <c r="EW183"/>
      <c r="EX183"/>
      <c r="EY183"/>
      <c r="EZ183"/>
      <c r="FA183"/>
      <c r="FB183"/>
      <c r="FC183"/>
      <c r="FD183"/>
      <c r="FE183"/>
      <c r="FF183"/>
      <c r="FG183"/>
      <c r="FH183"/>
      <c r="FI183"/>
      <c r="FJ183"/>
      <c r="FK183"/>
      <c r="FL183"/>
      <c r="FM183"/>
      <c r="FN183"/>
      <c r="FO183"/>
      <c r="FP183"/>
      <c r="FQ183"/>
      <c r="FR183"/>
      <c r="FS183"/>
      <c r="FT183"/>
      <c r="FU183"/>
      <c r="FV183"/>
      <c r="FW183"/>
      <c r="FX183"/>
      <c r="FY183"/>
      <c r="FZ183"/>
      <c r="GA183"/>
      <c r="GB183"/>
      <c r="GC183"/>
      <c r="GD183"/>
      <c r="GE183"/>
      <c r="GF183"/>
      <c r="GG183"/>
      <c r="GH183"/>
      <c r="GI183"/>
      <c r="GJ183"/>
      <c r="GK183"/>
    </row>
    <row r="184" spans="1:193" ht="18" hidden="1" customHeight="1" x14ac:dyDescent="0.25">
      <c r="A184" s="8" t="s">
        <v>185</v>
      </c>
      <c r="B184" s="8">
        <v>10621</v>
      </c>
      <c r="C184" s="8">
        <v>78</v>
      </c>
      <c r="D184" s="8">
        <v>3752</v>
      </c>
      <c r="E184" s="8">
        <v>6791</v>
      </c>
      <c r="F184" s="11">
        <v>4800000</v>
      </c>
      <c r="G184" s="8" t="s">
        <v>195</v>
      </c>
      <c r="H184" s="1">
        <v>43895</v>
      </c>
      <c r="I184" s="14">
        <f t="shared" si="6"/>
        <v>7.3439412484700125E-3</v>
      </c>
      <c r="J184" s="14">
        <f t="shared" si="7"/>
        <v>0.35326240466999342</v>
      </c>
      <c r="K184" s="17">
        <f t="shared" si="8"/>
        <v>2.2127083333333335E-3</v>
      </c>
      <c r="L184" s="8" t="str" cm="1">
        <f t="array" ref="L184">_xlfn.IFS(I184&gt;5%,"High Risk",AND(I184&gt;2%,I184&lt;5%),"Modrate Risk",I184&lt;2%, "Low Risk")</f>
        <v>Low Risk</v>
      </c>
      <c r="N184"/>
      <c r="O184"/>
      <c r="P184"/>
      <c r="Q184"/>
      <c r="R184"/>
      <c r="S184"/>
      <c r="T184"/>
      <c r="U184"/>
      <c r="V184"/>
      <c r="W184"/>
      <c r="X184"/>
      <c r="Y184"/>
      <c r="Z184"/>
      <c r="AA184"/>
      <c r="AB184"/>
      <c r="AC184"/>
      <c r="AD184"/>
      <c r="AE184"/>
      <c r="AF184"/>
      <c r="AG184"/>
      <c r="AH184"/>
      <c r="AI184"/>
      <c r="AJ184"/>
      <c r="AK184"/>
      <c r="AL184"/>
      <c r="AM184"/>
      <c r="AN184"/>
      <c r="AO184"/>
      <c r="AP184"/>
      <c r="AQ184"/>
      <c r="AR184"/>
      <c r="AS184"/>
      <c r="AT184"/>
      <c r="AU184"/>
      <c r="AV184"/>
      <c r="AW184"/>
      <c r="AX184"/>
      <c r="AY184"/>
      <c r="AZ184"/>
      <c r="BA184"/>
      <c r="BB184"/>
      <c r="BC184"/>
      <c r="BD184"/>
      <c r="BE184"/>
      <c r="BF184"/>
      <c r="BG184"/>
      <c r="BH184"/>
      <c r="BI184"/>
      <c r="BJ184"/>
      <c r="BK184"/>
      <c r="BL184"/>
      <c r="BM184"/>
      <c r="BN184"/>
      <c r="BO184"/>
      <c r="BP184"/>
      <c r="BQ184"/>
      <c r="BR184"/>
      <c r="BS184"/>
      <c r="BT184"/>
      <c r="BU184"/>
      <c r="BV184"/>
      <c r="BW184"/>
      <c r="BX184"/>
      <c r="BY184"/>
      <c r="BZ184"/>
      <c r="CA184"/>
      <c r="CB184"/>
      <c r="CC184"/>
      <c r="CD184"/>
      <c r="CE184"/>
      <c r="CF184"/>
      <c r="CG184"/>
      <c r="CH184"/>
      <c r="CI184"/>
      <c r="CJ184"/>
      <c r="CK184"/>
      <c r="CL184"/>
      <c r="CM184"/>
      <c r="CN184"/>
      <c r="CO184"/>
      <c r="CP184"/>
      <c r="CQ184"/>
      <c r="CR184"/>
      <c r="CS184"/>
      <c r="CT184"/>
      <c r="CU184"/>
      <c r="CV184"/>
      <c r="CW184"/>
      <c r="CX184"/>
      <c r="CY184"/>
      <c r="CZ184"/>
      <c r="DA184"/>
      <c r="DB184"/>
      <c r="DC184"/>
      <c r="DD184"/>
      <c r="DE184"/>
      <c r="DF184"/>
      <c r="DG184"/>
      <c r="DH184"/>
      <c r="DI184"/>
      <c r="DJ184"/>
      <c r="DK184"/>
      <c r="DL184"/>
      <c r="DM184"/>
      <c r="DN184"/>
      <c r="DO184"/>
      <c r="DP184"/>
      <c r="DQ184"/>
      <c r="DR184"/>
      <c r="DS184"/>
      <c r="DT184"/>
      <c r="DU184"/>
      <c r="DV184"/>
      <c r="DW184"/>
      <c r="DX184"/>
      <c r="DY184"/>
      <c r="DZ184"/>
      <c r="EA184"/>
      <c r="EB184"/>
      <c r="EC184"/>
      <c r="ED184"/>
      <c r="EE184"/>
      <c r="EF184"/>
      <c r="EG184"/>
      <c r="EH184"/>
      <c r="EI184"/>
      <c r="EJ184"/>
      <c r="EK184"/>
      <c r="EL184"/>
      <c r="EM184"/>
      <c r="EN184"/>
      <c r="EO184"/>
      <c r="EP184"/>
      <c r="EQ184"/>
      <c r="ER184"/>
      <c r="ES184"/>
      <c r="ET184"/>
      <c r="EU184"/>
      <c r="EV184"/>
      <c r="EW184"/>
      <c r="EX184"/>
      <c r="EY184"/>
      <c r="EZ184"/>
      <c r="FA184"/>
      <c r="FB184"/>
      <c r="FC184"/>
      <c r="FD184"/>
      <c r="FE184"/>
      <c r="FF184"/>
      <c r="FG184"/>
      <c r="FH184"/>
      <c r="FI184"/>
      <c r="FJ184"/>
      <c r="FK184"/>
      <c r="FL184"/>
      <c r="FM184"/>
      <c r="FN184"/>
      <c r="FO184"/>
      <c r="FP184"/>
      <c r="FQ184"/>
      <c r="FR184"/>
      <c r="FS184"/>
      <c r="FT184"/>
      <c r="FU184"/>
      <c r="FV184"/>
      <c r="FW184"/>
      <c r="FX184"/>
      <c r="FY184"/>
      <c r="FZ184"/>
      <c r="GA184"/>
      <c r="GB184"/>
      <c r="GC184"/>
      <c r="GD184"/>
      <c r="GE184"/>
      <c r="GF184"/>
      <c r="GG184"/>
      <c r="GH184"/>
      <c r="GI184"/>
      <c r="GJ184"/>
      <c r="GK184"/>
    </row>
    <row r="185" spans="1:193" ht="18" hidden="1" customHeight="1" x14ac:dyDescent="0.25">
      <c r="A185" s="9" t="s">
        <v>186</v>
      </c>
      <c r="B185" s="9">
        <v>10</v>
      </c>
      <c r="C185" s="9">
        <v>1</v>
      </c>
      <c r="D185" s="9">
        <v>8</v>
      </c>
      <c r="E185" s="9">
        <v>1</v>
      </c>
      <c r="F185" s="9">
        <v>598682</v>
      </c>
      <c r="G185" s="9" t="s">
        <v>197</v>
      </c>
      <c r="H185" s="10">
        <v>43925</v>
      </c>
      <c r="I185" s="15">
        <f t="shared" si="6"/>
        <v>0.1</v>
      </c>
      <c r="J185" s="15">
        <f t="shared" si="7"/>
        <v>0.8</v>
      </c>
      <c r="K185" s="18">
        <f t="shared" si="8"/>
        <v>1.6703358377235327E-5</v>
      </c>
      <c r="L185" s="9" t="str" cm="1">
        <f t="array" ref="L185">_xlfn.IFS(I185&gt;5%,"High Risk",AND(I185&gt;2%,I185&lt;5%),"Modrate Risk",I185&lt;2%, "Low Risk")</f>
        <v>High Risk</v>
      </c>
      <c r="N185"/>
      <c r="O185"/>
      <c r="P185"/>
      <c r="Q185"/>
      <c r="R185"/>
      <c r="S185"/>
      <c r="T185"/>
      <c r="U185"/>
      <c r="V185"/>
      <c r="W185"/>
      <c r="X185"/>
      <c r="Y185"/>
      <c r="Z185"/>
      <c r="AA185"/>
      <c r="AB185"/>
      <c r="AC185"/>
      <c r="AD185"/>
      <c r="AE185"/>
      <c r="AF185"/>
      <c r="AG185"/>
      <c r="AH185"/>
      <c r="AI185"/>
      <c r="AJ185"/>
      <c r="AK185"/>
      <c r="AL185"/>
      <c r="AM185"/>
      <c r="AN185"/>
      <c r="AO185"/>
      <c r="AP185"/>
      <c r="AQ185"/>
      <c r="AR185"/>
      <c r="AS185"/>
      <c r="AT185"/>
      <c r="AU185"/>
      <c r="AV185"/>
      <c r="AW185"/>
      <c r="AX185"/>
      <c r="AY185"/>
      <c r="AZ185"/>
      <c r="BA185"/>
      <c r="BB185"/>
      <c r="BC185"/>
      <c r="BD185"/>
      <c r="BE185"/>
      <c r="BF185"/>
      <c r="BG185"/>
      <c r="BH185"/>
      <c r="BI185"/>
      <c r="BJ185"/>
      <c r="BK185"/>
      <c r="BL185"/>
      <c r="BM185"/>
      <c r="BN185"/>
      <c r="BO185"/>
      <c r="BP185"/>
      <c r="BQ185"/>
      <c r="BR185"/>
      <c r="BS185"/>
      <c r="BT185"/>
      <c r="BU185"/>
      <c r="BV185"/>
      <c r="BW185"/>
      <c r="BX185"/>
      <c r="BY185"/>
      <c r="BZ185"/>
      <c r="CA185"/>
      <c r="CB185"/>
      <c r="CC185"/>
      <c r="CD185"/>
      <c r="CE185"/>
      <c r="CF185"/>
      <c r="CG185"/>
      <c r="CH185"/>
      <c r="CI185"/>
      <c r="CJ185"/>
      <c r="CK185"/>
      <c r="CL185"/>
      <c r="CM185"/>
      <c r="CN185"/>
      <c r="CO185"/>
      <c r="CP185"/>
      <c r="CQ185"/>
      <c r="CR185"/>
      <c r="CS185"/>
      <c r="CT185"/>
      <c r="CU185"/>
      <c r="CV185"/>
      <c r="CW185"/>
      <c r="CX185"/>
      <c r="CY185"/>
      <c r="CZ185"/>
      <c r="DA185"/>
      <c r="DB185"/>
      <c r="DC185"/>
      <c r="DD185"/>
      <c r="DE185"/>
      <c r="DF185"/>
      <c r="DG185"/>
      <c r="DH185"/>
      <c r="DI185"/>
      <c r="DJ185"/>
      <c r="DK185"/>
      <c r="DL185"/>
      <c r="DM185"/>
      <c r="DN185"/>
      <c r="DO185"/>
      <c r="DP185"/>
      <c r="DQ185"/>
      <c r="DR185"/>
      <c r="DS185"/>
      <c r="DT185"/>
      <c r="DU185"/>
      <c r="DV185"/>
      <c r="DW185"/>
      <c r="DX185"/>
      <c r="DY185"/>
      <c r="DZ185"/>
      <c r="EA185"/>
      <c r="EB185"/>
      <c r="EC185"/>
      <c r="ED185"/>
      <c r="EE185"/>
      <c r="EF185"/>
      <c r="EG185"/>
      <c r="EH185"/>
      <c r="EI185"/>
      <c r="EJ185"/>
      <c r="EK185"/>
      <c r="EL185"/>
      <c r="EM185"/>
      <c r="EN185"/>
      <c r="EO185"/>
      <c r="EP185"/>
      <c r="EQ185"/>
      <c r="ER185"/>
      <c r="ES185"/>
      <c r="ET185"/>
      <c r="EU185"/>
      <c r="EV185"/>
      <c r="EW185"/>
      <c r="EX185"/>
      <c r="EY185"/>
      <c r="EZ185"/>
      <c r="FA185"/>
      <c r="FB185"/>
      <c r="FC185"/>
      <c r="FD185"/>
      <c r="FE185"/>
      <c r="FF185"/>
      <c r="FG185"/>
      <c r="FH185"/>
      <c r="FI185"/>
      <c r="FJ185"/>
      <c r="FK185"/>
      <c r="FL185"/>
      <c r="FM185"/>
      <c r="FN185"/>
      <c r="FO185"/>
      <c r="FP185"/>
      <c r="FQ185"/>
      <c r="FR185"/>
      <c r="FS185"/>
      <c r="FT185"/>
      <c r="FU185"/>
      <c r="FV185"/>
      <c r="FW185"/>
      <c r="FX185"/>
      <c r="FY185"/>
      <c r="FZ185"/>
      <c r="GA185"/>
      <c r="GB185"/>
      <c r="GC185"/>
      <c r="GD185"/>
      <c r="GE185"/>
      <c r="GF185"/>
      <c r="GG185"/>
      <c r="GH185"/>
      <c r="GI185"/>
      <c r="GJ185"/>
      <c r="GK185"/>
    </row>
    <row r="186" spans="1:193" ht="18" hidden="1" customHeight="1" x14ac:dyDescent="0.25">
      <c r="A186" s="8" t="s">
        <v>187</v>
      </c>
      <c r="B186" s="8">
        <v>1691</v>
      </c>
      <c r="C186" s="8">
        <v>483</v>
      </c>
      <c r="D186" s="8">
        <v>833</v>
      </c>
      <c r="E186" s="8">
        <v>375</v>
      </c>
      <c r="F186" s="8">
        <v>29886897</v>
      </c>
      <c r="G186" s="8" t="s">
        <v>195</v>
      </c>
      <c r="H186" s="1">
        <v>43931</v>
      </c>
      <c r="I186" s="14">
        <f t="shared" si="6"/>
        <v>0.28562980484920164</v>
      </c>
      <c r="J186" s="14">
        <f t="shared" si="7"/>
        <v>0.49260792430514488</v>
      </c>
      <c r="K186" s="17">
        <f t="shared" si="8"/>
        <v>5.6579978844909859E-5</v>
      </c>
      <c r="L186" s="8" t="str" cm="1">
        <f t="array" ref="L186">_xlfn.IFS(I186&gt;5%,"High Risk",AND(I186&gt;2%,I186&lt;5%),"Modrate Risk",I186&lt;2%, "Low Risk")</f>
        <v>High Risk</v>
      </c>
      <c r="N186"/>
      <c r="O186"/>
      <c r="P186"/>
      <c r="Q186"/>
      <c r="R186"/>
      <c r="S186"/>
      <c r="T186"/>
      <c r="U186"/>
      <c r="V186"/>
      <c r="W186"/>
      <c r="X186"/>
      <c r="Y186"/>
      <c r="Z186"/>
      <c r="AA186"/>
      <c r="AB186"/>
      <c r="AC186"/>
      <c r="AD186"/>
      <c r="AE186"/>
      <c r="AF186"/>
      <c r="AG186"/>
      <c r="AH186"/>
      <c r="AI186"/>
      <c r="AJ186"/>
      <c r="AK186"/>
      <c r="AL186"/>
      <c r="AM186"/>
      <c r="AN186"/>
      <c r="AO186"/>
      <c r="AP186"/>
      <c r="AQ186"/>
      <c r="AR186"/>
      <c r="AS186"/>
      <c r="AT186"/>
      <c r="AU186"/>
      <c r="AV186"/>
      <c r="AW186"/>
      <c r="AX186"/>
      <c r="AY186"/>
      <c r="AZ186"/>
      <c r="BA186"/>
      <c r="BB186"/>
      <c r="BC186"/>
      <c r="BD186"/>
      <c r="BE186"/>
      <c r="BF186"/>
      <c r="BG186"/>
      <c r="BH186"/>
      <c r="BI186"/>
      <c r="BJ186"/>
      <c r="BK186"/>
      <c r="BL186"/>
      <c r="BM186"/>
      <c r="BN186"/>
      <c r="BO186"/>
      <c r="BP186"/>
      <c r="BQ186"/>
      <c r="BR186"/>
      <c r="BS186"/>
      <c r="BT186"/>
      <c r="BU186"/>
      <c r="BV186"/>
      <c r="BW186"/>
      <c r="BX186"/>
      <c r="BY186"/>
      <c r="BZ186"/>
      <c r="CA186"/>
      <c r="CB186"/>
      <c r="CC186"/>
      <c r="CD186"/>
      <c r="CE186"/>
      <c r="CF186"/>
      <c r="CG186"/>
      <c r="CH186"/>
      <c r="CI186"/>
      <c r="CJ186"/>
      <c r="CK186"/>
      <c r="CL186"/>
      <c r="CM186"/>
      <c r="CN186"/>
      <c r="CO186"/>
      <c r="CP186"/>
      <c r="CQ186"/>
      <c r="CR186"/>
      <c r="CS186"/>
      <c r="CT186"/>
      <c r="CU186"/>
      <c r="CV186"/>
      <c r="CW186"/>
      <c r="CX186"/>
      <c r="CY186"/>
      <c r="CZ186"/>
      <c r="DA186"/>
      <c r="DB186"/>
      <c r="DC186"/>
      <c r="DD186"/>
      <c r="DE186"/>
      <c r="DF186"/>
      <c r="DG186"/>
      <c r="DH186"/>
      <c r="DI186"/>
      <c r="DJ186"/>
      <c r="DK186"/>
      <c r="DL186"/>
      <c r="DM186"/>
      <c r="DN186"/>
      <c r="DO186"/>
      <c r="DP186"/>
      <c r="DQ186"/>
      <c r="DR186"/>
      <c r="DS186"/>
      <c r="DT186"/>
      <c r="DU186"/>
      <c r="DV186"/>
      <c r="DW186"/>
      <c r="DX186"/>
      <c r="DY186"/>
      <c r="DZ186"/>
      <c r="EA186"/>
      <c r="EB186"/>
      <c r="EC186"/>
      <c r="ED186"/>
      <c r="EE186"/>
      <c r="EF186"/>
      <c r="EG186"/>
      <c r="EH186"/>
      <c r="EI186"/>
      <c r="EJ186"/>
      <c r="EK186"/>
      <c r="EL186"/>
      <c r="EM186"/>
      <c r="EN186"/>
      <c r="EO186"/>
      <c r="EP186"/>
      <c r="EQ186"/>
      <c r="ER186"/>
      <c r="ES186"/>
      <c r="ET186"/>
      <c r="EU186"/>
      <c r="EV186"/>
      <c r="EW186"/>
      <c r="EX186"/>
      <c r="EY186"/>
      <c r="EZ186"/>
      <c r="FA186"/>
      <c r="FB186"/>
      <c r="FC186"/>
      <c r="FD186"/>
      <c r="FE186"/>
      <c r="FF186"/>
      <c r="FG186"/>
      <c r="FH186"/>
      <c r="FI186"/>
      <c r="FJ186"/>
      <c r="FK186"/>
      <c r="FL186"/>
      <c r="FM186"/>
      <c r="FN186"/>
      <c r="FO186"/>
      <c r="FP186"/>
      <c r="FQ186"/>
      <c r="FR186"/>
      <c r="FS186"/>
      <c r="FT186"/>
      <c r="FU186"/>
      <c r="FV186"/>
      <c r="FW186"/>
      <c r="FX186"/>
      <c r="FY186"/>
      <c r="FZ186"/>
      <c r="GA186"/>
      <c r="GB186"/>
      <c r="GC186"/>
      <c r="GD186"/>
      <c r="GE186"/>
      <c r="GF186"/>
      <c r="GG186"/>
      <c r="GH186"/>
      <c r="GI186"/>
      <c r="GJ186"/>
      <c r="GK186"/>
    </row>
    <row r="187" spans="1:193" ht="18" hidden="1" customHeight="1" x14ac:dyDescent="0.25">
      <c r="A187" s="9" t="s">
        <v>188</v>
      </c>
      <c r="B187" s="9">
        <v>4552</v>
      </c>
      <c r="C187" s="9">
        <v>140</v>
      </c>
      <c r="D187" s="9">
        <v>2815</v>
      </c>
      <c r="E187" s="9">
        <v>1597</v>
      </c>
      <c r="F187" s="9">
        <v>18430129</v>
      </c>
      <c r="G187" s="9" t="s">
        <v>197</v>
      </c>
      <c r="H187" s="10">
        <v>43908</v>
      </c>
      <c r="I187" s="15">
        <f t="shared" si="6"/>
        <v>3.0755711775043937E-2</v>
      </c>
      <c r="J187" s="15">
        <f t="shared" si="7"/>
        <v>0.61840949033391912</v>
      </c>
      <c r="K187" s="18">
        <f t="shared" si="8"/>
        <v>2.4698687676033088E-4</v>
      </c>
      <c r="L187" s="9" t="str" cm="1">
        <f t="array" ref="L187">_xlfn.IFS(I187&gt;5%,"High Risk",AND(I187&gt;2%,I187&lt;5%),"Modrate Risk",I187&lt;2%, "Low Risk")</f>
        <v>Modrate Risk</v>
      </c>
      <c r="N187"/>
      <c r="O187"/>
      <c r="P187"/>
      <c r="Q187"/>
      <c r="R187"/>
      <c r="S187"/>
      <c r="T187"/>
      <c r="U187"/>
      <c r="V187"/>
      <c r="W187"/>
      <c r="X187"/>
      <c r="Y187"/>
      <c r="Z187"/>
      <c r="AA187"/>
      <c r="AB187"/>
      <c r="AC187"/>
      <c r="AD187"/>
      <c r="AE187"/>
      <c r="AF187"/>
      <c r="AG187"/>
      <c r="AH187"/>
      <c r="AI187"/>
      <c r="AJ187"/>
      <c r="AK187"/>
      <c r="AL187"/>
      <c r="AM187"/>
      <c r="AN187"/>
      <c r="AO187"/>
      <c r="AP187"/>
      <c r="AQ187"/>
      <c r="AR187"/>
      <c r="AS187"/>
      <c r="AT187"/>
      <c r="AU187"/>
      <c r="AV187"/>
      <c r="AW187"/>
      <c r="AX187"/>
      <c r="AY187"/>
      <c r="AZ187"/>
      <c r="BA187"/>
      <c r="BB187"/>
      <c r="BC187"/>
      <c r="BD187"/>
      <c r="BE187"/>
      <c r="BF187"/>
      <c r="BG187"/>
      <c r="BH187"/>
      <c r="BI187"/>
      <c r="BJ187"/>
      <c r="BK187"/>
      <c r="BL187"/>
      <c r="BM187"/>
      <c r="BN187"/>
      <c r="BO187"/>
      <c r="BP187"/>
      <c r="BQ187"/>
      <c r="BR187"/>
      <c r="BS187"/>
      <c r="BT187"/>
      <c r="BU187"/>
      <c r="BV187"/>
      <c r="BW187"/>
      <c r="BX187"/>
      <c r="BY187"/>
      <c r="BZ187"/>
      <c r="CA187"/>
      <c r="CB187"/>
      <c r="CC187"/>
      <c r="CD187"/>
      <c r="CE187"/>
      <c r="CF187"/>
      <c r="CG187"/>
      <c r="CH187"/>
      <c r="CI187"/>
      <c r="CJ187"/>
      <c r="CK187"/>
      <c r="CL187"/>
      <c r="CM187"/>
      <c r="CN187"/>
      <c r="CO187"/>
      <c r="CP187"/>
      <c r="CQ187"/>
      <c r="CR187"/>
      <c r="CS187"/>
      <c r="CT187"/>
      <c r="CU187"/>
      <c r="CV187"/>
      <c r="CW187"/>
      <c r="CX187"/>
      <c r="CY187"/>
      <c r="CZ187"/>
      <c r="DA187"/>
      <c r="DB187"/>
      <c r="DC187"/>
      <c r="DD187"/>
      <c r="DE187"/>
      <c r="DF187"/>
      <c r="DG187"/>
      <c r="DH187"/>
      <c r="DI187"/>
      <c r="DJ187"/>
      <c r="DK187"/>
      <c r="DL187"/>
      <c r="DM187"/>
      <c r="DN187"/>
      <c r="DO187"/>
      <c r="DP187"/>
      <c r="DQ187"/>
      <c r="DR187"/>
      <c r="DS187"/>
      <c r="DT187"/>
      <c r="DU187"/>
      <c r="DV187"/>
      <c r="DW187"/>
      <c r="DX187"/>
      <c r="DY187"/>
      <c r="DZ187"/>
      <c r="EA187"/>
      <c r="EB187"/>
      <c r="EC187"/>
      <c r="ED187"/>
      <c r="EE187"/>
      <c r="EF187"/>
      <c r="EG187"/>
      <c r="EH187"/>
      <c r="EI187"/>
      <c r="EJ187"/>
      <c r="EK187"/>
      <c r="EL187"/>
      <c r="EM187"/>
      <c r="EN187"/>
      <c r="EO187"/>
      <c r="EP187"/>
      <c r="EQ187"/>
      <c r="ER187"/>
      <c r="ES187"/>
      <c r="ET187"/>
      <c r="EU187"/>
      <c r="EV187"/>
      <c r="EW187"/>
      <c r="EX187"/>
      <c r="EY187"/>
      <c r="EZ187"/>
      <c r="FA187"/>
      <c r="FB187"/>
      <c r="FC187"/>
      <c r="FD187"/>
      <c r="FE187"/>
      <c r="FF187"/>
      <c r="FG187"/>
      <c r="FH187"/>
      <c r="FI187"/>
      <c r="FJ187"/>
      <c r="FK187"/>
      <c r="FL187"/>
      <c r="FM187"/>
      <c r="FN187"/>
      <c r="FO187"/>
      <c r="FP187"/>
      <c r="FQ187"/>
      <c r="FR187"/>
      <c r="FS187"/>
      <c r="FT187"/>
      <c r="FU187"/>
      <c r="FV187"/>
      <c r="FW187"/>
      <c r="FX187"/>
      <c r="FY187"/>
      <c r="FZ187"/>
      <c r="GA187"/>
      <c r="GB187"/>
      <c r="GC187"/>
      <c r="GD187"/>
      <c r="GE187"/>
      <c r="GF187"/>
      <c r="GG187"/>
      <c r="GH187"/>
      <c r="GI187"/>
      <c r="GJ187"/>
      <c r="GK187"/>
    </row>
    <row r="188" spans="1:193" ht="18" hidden="1" customHeight="1" x14ac:dyDescent="0.25">
      <c r="A188" s="8" t="s">
        <v>189</v>
      </c>
      <c r="B188" s="8">
        <v>2704</v>
      </c>
      <c r="C188" s="8">
        <v>36</v>
      </c>
      <c r="D188" s="8">
        <v>542</v>
      </c>
      <c r="E188" s="8">
        <v>2126</v>
      </c>
      <c r="F188" s="8">
        <v>14883803</v>
      </c>
      <c r="G188" s="8" t="s">
        <v>197</v>
      </c>
      <c r="H188" s="1">
        <v>43911</v>
      </c>
      <c r="I188" s="14">
        <f t="shared" si="6"/>
        <v>1.3313609467455622E-2</v>
      </c>
      <c r="J188" s="14">
        <f t="shared" si="7"/>
        <v>0.20044378698224852</v>
      </c>
      <c r="K188" s="17">
        <f t="shared" si="8"/>
        <v>1.8167399823821909E-4</v>
      </c>
      <c r="L188" s="8" t="str" cm="1">
        <f t="array" ref="L188">_xlfn.IFS(I188&gt;5%,"High Risk",AND(I188&gt;2%,I188&lt;5%),"Modrate Risk",I188&lt;2%, "Low Risk")</f>
        <v>Low Risk</v>
      </c>
    </row>
  </sheetData>
  <autoFilter ref="A1:L188" xr:uid="{2A2D2BC4-8109-4728-AF01-B9D1FC3D90D1}">
    <filterColumn colId="1">
      <top10 val="10" filterVal="293606"/>
    </filterColumn>
  </autoFilter>
  <conditionalFormatting sqref="A1:A188">
    <cfRule type="expression" dxfId="0" priority="6">
      <formula>$I1048573&gt;5%</formula>
    </cfRule>
  </conditionalFormatting>
  <conditionalFormatting sqref="I2:I188">
    <cfRule type="iconSet" priority="1">
      <iconSet iconSet="3Arrows">
        <cfvo type="percent" val="0"/>
        <cfvo type="percent" val="33"/>
        <cfvo type="percent" val="67"/>
      </iconSet>
    </cfRule>
  </conditionalFormatting>
  <conditionalFormatting sqref="J2:J188">
    <cfRule type="colorScale" priority="3">
      <colorScale>
        <cfvo type="min"/>
        <cfvo type="percentile" val="50"/>
        <cfvo type="max"/>
        <color rgb="FFF8696B"/>
        <color rgb="FFFFEB84"/>
        <color rgb="FF63BE7B"/>
      </colorScale>
    </cfRule>
    <cfRule type="colorScale" priority="4">
      <colorScale>
        <cfvo type="min"/>
        <cfvo type="percentile" val="50"/>
        <cfvo type="max"/>
        <color rgb="FFF8696B"/>
        <color rgb="FFFFEB84"/>
        <color rgb="FF63BE7B"/>
      </colorScale>
    </cfRule>
    <cfRule type="colorScale" priority="5">
      <colorScale>
        <cfvo type="min"/>
        <cfvo type="percentile" val="50"/>
        <cfvo type="max"/>
        <color rgb="FFF8696B"/>
        <color rgb="FFFFEB84"/>
        <color rgb="FF63BE7B"/>
      </colorScale>
    </cfRule>
  </conditionalFormatting>
  <conditionalFormatting sqref="K2:K188">
    <cfRule type="dataBar" priority="2">
      <dataBar>
        <cfvo type="min"/>
        <cfvo type="max"/>
        <color rgb="FF638EC6"/>
      </dataBar>
      <extLst>
        <ext xmlns:x14="http://schemas.microsoft.com/office/spreadsheetml/2009/9/main" uri="{B025F937-C7B1-47D3-B67F-A62EFF666E3E}">
          <x14:id>{3EABEF53-0C0B-4A39-8725-680C89AF456A}</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x14:cfRule type="dataBar" id="{3EABEF53-0C0B-4A39-8725-680C89AF456A}">
            <x14:dataBar minLength="0" maxLength="100" gradient="0">
              <x14:cfvo type="autoMin"/>
              <x14:cfvo type="autoMax"/>
              <x14:negativeFillColor rgb="FFFF0000"/>
              <x14:axisColor rgb="FF000000"/>
            </x14:dataBar>
          </x14:cfRule>
          <xm:sqref>K2:K188</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DA9BDE-92A4-4DE4-83BE-35E04CB0BD5E}">
  <dimension ref="A3:B16"/>
  <sheetViews>
    <sheetView workbookViewId="0">
      <selection activeCell="A3" sqref="A3"/>
    </sheetView>
  </sheetViews>
  <sheetFormatPr defaultRowHeight="15" x14ac:dyDescent="0.25"/>
  <cols>
    <col min="1" max="1" width="13.42578125" bestFit="1" customWidth="1"/>
    <col min="2" max="2" width="17.7109375" bestFit="1" customWidth="1"/>
  </cols>
  <sheetData>
    <row r="3" spans="1:2" x14ac:dyDescent="0.25">
      <c r="A3" s="19" t="s">
        <v>205</v>
      </c>
      <c r="B3" t="s">
        <v>207</v>
      </c>
    </row>
    <row r="4" spans="1:2" x14ac:dyDescent="0.25">
      <c r="A4" s="20" t="s">
        <v>208</v>
      </c>
      <c r="B4" s="37">
        <v>307135</v>
      </c>
    </row>
    <row r="5" spans="1:2" x14ac:dyDescent="0.25">
      <c r="A5" s="21" t="s">
        <v>210</v>
      </c>
      <c r="B5" s="37">
        <v>307135</v>
      </c>
    </row>
    <row r="6" spans="1:2" x14ac:dyDescent="0.25">
      <c r="A6" s="22" t="s">
        <v>211</v>
      </c>
      <c r="B6" s="37">
        <v>86783</v>
      </c>
    </row>
    <row r="7" spans="1:2" x14ac:dyDescent="0.25">
      <c r="A7" s="22" t="s">
        <v>212</v>
      </c>
      <c r="B7" s="37">
        <v>220352</v>
      </c>
    </row>
    <row r="8" spans="1:2" x14ac:dyDescent="0.25">
      <c r="A8" s="20" t="s">
        <v>209</v>
      </c>
      <c r="B8" s="37">
        <v>16173350</v>
      </c>
    </row>
    <row r="9" spans="1:2" x14ac:dyDescent="0.25">
      <c r="A9" s="21" t="s">
        <v>213</v>
      </c>
      <c r="B9" s="37">
        <v>16156721</v>
      </c>
    </row>
    <row r="10" spans="1:2" x14ac:dyDescent="0.25">
      <c r="A10" s="22" t="s">
        <v>215</v>
      </c>
      <c r="B10" s="37">
        <v>8097972</v>
      </c>
    </row>
    <row r="11" spans="1:2" x14ac:dyDescent="0.25">
      <c r="A11" s="22" t="s">
        <v>216</v>
      </c>
      <c r="B11" s="37">
        <v>4565502</v>
      </c>
    </row>
    <row r="12" spans="1:2" x14ac:dyDescent="0.25">
      <c r="A12" s="22" t="s">
        <v>217</v>
      </c>
      <c r="B12" s="37">
        <v>3493247</v>
      </c>
    </row>
    <row r="13" spans="1:2" x14ac:dyDescent="0.25">
      <c r="A13" s="21" t="s">
        <v>214</v>
      </c>
      <c r="B13" s="37">
        <v>16629</v>
      </c>
    </row>
    <row r="14" spans="1:2" x14ac:dyDescent="0.25">
      <c r="A14" s="22" t="s">
        <v>218</v>
      </c>
      <c r="B14" s="37">
        <v>16124</v>
      </c>
    </row>
    <row r="15" spans="1:2" x14ac:dyDescent="0.25">
      <c r="A15" s="22" t="s">
        <v>219</v>
      </c>
      <c r="B15" s="37">
        <v>505</v>
      </c>
    </row>
    <row r="16" spans="1:2" x14ac:dyDescent="0.25">
      <c r="A16" s="20" t="s">
        <v>206</v>
      </c>
      <c r="B16" s="37">
        <v>16480485</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429362-96EB-4471-97D8-DC53F7C71C22}">
  <dimension ref="A3:B10"/>
  <sheetViews>
    <sheetView workbookViewId="0">
      <selection activeCell="L8" sqref="L8"/>
    </sheetView>
  </sheetViews>
  <sheetFormatPr defaultRowHeight="15" x14ac:dyDescent="0.25"/>
  <cols>
    <col min="1" max="1" width="17.42578125" bestFit="1" customWidth="1"/>
    <col min="2" max="2" width="17.7109375" bestFit="1" customWidth="1"/>
    <col min="3" max="3" width="8" bestFit="1" customWidth="1"/>
    <col min="4" max="4" width="17" bestFit="1" customWidth="1"/>
    <col min="5" max="5" width="8" bestFit="1" customWidth="1"/>
    <col min="6" max="6" width="14" bestFit="1" customWidth="1"/>
    <col min="7" max="7" width="14.140625" bestFit="1" customWidth="1"/>
    <col min="8" max="8" width="11.28515625" bestFit="1" customWidth="1"/>
  </cols>
  <sheetData>
    <row r="3" spans="1:2" x14ac:dyDescent="0.25">
      <c r="A3" s="19" t="s">
        <v>205</v>
      </c>
      <c r="B3" t="s">
        <v>207</v>
      </c>
    </row>
    <row r="4" spans="1:2" x14ac:dyDescent="0.25">
      <c r="A4" s="20" t="s">
        <v>197</v>
      </c>
      <c r="B4">
        <v>947320</v>
      </c>
    </row>
    <row r="5" spans="1:2" x14ac:dyDescent="0.25">
      <c r="A5" s="20" t="s">
        <v>195</v>
      </c>
      <c r="B5">
        <v>3946274</v>
      </c>
    </row>
    <row r="6" spans="1:2" x14ac:dyDescent="0.25">
      <c r="A6" s="20" t="s">
        <v>200</v>
      </c>
      <c r="B6">
        <v>16949</v>
      </c>
    </row>
    <row r="7" spans="1:2" x14ac:dyDescent="0.25">
      <c r="A7" s="20" t="s">
        <v>196</v>
      </c>
      <c r="B7">
        <v>2792084</v>
      </c>
    </row>
    <row r="8" spans="1:2" x14ac:dyDescent="0.25">
      <c r="A8" s="20" t="s">
        <v>198</v>
      </c>
      <c r="B8">
        <v>4997374</v>
      </c>
    </row>
    <row r="9" spans="1:2" x14ac:dyDescent="0.25">
      <c r="A9" s="20" t="s">
        <v>199</v>
      </c>
      <c r="B9">
        <v>3780484</v>
      </c>
    </row>
    <row r="10" spans="1:2" x14ac:dyDescent="0.25">
      <c r="A10" s="20" t="s">
        <v>206</v>
      </c>
      <c r="B10">
        <v>16480485</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F1AC7-1D75-4E55-ABA5-5A11C9D4B5F6}">
  <dimension ref="A1:C14"/>
  <sheetViews>
    <sheetView workbookViewId="0">
      <selection activeCell="N10" sqref="N10"/>
    </sheetView>
  </sheetViews>
  <sheetFormatPr defaultRowHeight="15" x14ac:dyDescent="0.25"/>
  <cols>
    <col min="1" max="1" width="13.42578125" bestFit="1" customWidth="1"/>
    <col min="2" max="2" width="17.7109375" bestFit="1" customWidth="1"/>
    <col min="3" max="3" width="21.5703125" bestFit="1" customWidth="1"/>
  </cols>
  <sheetData>
    <row r="1" spans="1:3" x14ac:dyDescent="0.25">
      <c r="A1" s="19" t="s">
        <v>205</v>
      </c>
      <c r="B1" t="s">
        <v>207</v>
      </c>
      <c r="C1" t="s">
        <v>220</v>
      </c>
    </row>
    <row r="2" spans="1:3" x14ac:dyDescent="0.25">
      <c r="A2" s="20" t="s">
        <v>208</v>
      </c>
      <c r="C2" s="23"/>
    </row>
    <row r="3" spans="1:3" x14ac:dyDescent="0.25">
      <c r="A3" s="21" t="s">
        <v>210</v>
      </c>
      <c r="C3" s="23"/>
    </row>
    <row r="4" spans="1:3" x14ac:dyDescent="0.25">
      <c r="A4" s="22" t="s">
        <v>211</v>
      </c>
      <c r="B4">
        <v>86783</v>
      </c>
      <c r="C4" s="23">
        <v>5.365106069161011E-2</v>
      </c>
    </row>
    <row r="5" spans="1:3" x14ac:dyDescent="0.25">
      <c r="A5" s="22" t="s">
        <v>212</v>
      </c>
      <c r="B5">
        <v>220352</v>
      </c>
      <c r="C5" s="23">
        <v>0.13710790008713331</v>
      </c>
    </row>
    <row r="6" spans="1:3" x14ac:dyDescent="0.25">
      <c r="A6" s="20" t="s">
        <v>209</v>
      </c>
      <c r="C6" s="23"/>
    </row>
    <row r="7" spans="1:3" x14ac:dyDescent="0.25">
      <c r="A7" s="21" t="s">
        <v>213</v>
      </c>
      <c r="C7" s="23"/>
    </row>
    <row r="8" spans="1:3" x14ac:dyDescent="0.25">
      <c r="A8" s="22" t="s">
        <v>215</v>
      </c>
      <c r="B8">
        <v>8097972</v>
      </c>
      <c r="C8" s="23">
        <v>0.81223361450163878</v>
      </c>
    </row>
    <row r="9" spans="1:3" x14ac:dyDescent="0.25">
      <c r="A9" s="22" t="s">
        <v>216</v>
      </c>
      <c r="B9">
        <v>4565502</v>
      </c>
      <c r="C9" s="23">
        <v>1.4673048821979009</v>
      </c>
    </row>
    <row r="10" spans="1:3" x14ac:dyDescent="0.25">
      <c r="A10" s="22" t="s">
        <v>217</v>
      </c>
      <c r="B10">
        <v>3493247</v>
      </c>
      <c r="C10" s="23">
        <v>2.6752047934913397</v>
      </c>
    </row>
    <row r="11" spans="1:3" x14ac:dyDescent="0.25">
      <c r="A11" s="21" t="s">
        <v>214</v>
      </c>
      <c r="C11" s="23"/>
    </row>
    <row r="12" spans="1:3" x14ac:dyDescent="0.25">
      <c r="A12" s="22" t="s">
        <v>218</v>
      </c>
      <c r="B12">
        <v>16124</v>
      </c>
      <c r="C12" s="23">
        <v>0.47685807399545022</v>
      </c>
    </row>
    <row r="13" spans="1:3" x14ac:dyDescent="0.25">
      <c r="A13" s="22" t="s">
        <v>219</v>
      </c>
      <c r="B13">
        <v>505</v>
      </c>
      <c r="C13" s="23">
        <v>2.3762376237623763E-2</v>
      </c>
    </row>
    <row r="14" spans="1:3" x14ac:dyDescent="0.25">
      <c r="A14" s="20" t="s">
        <v>206</v>
      </c>
      <c r="B14">
        <v>16480485</v>
      </c>
      <c r="C14" s="23">
        <v>5.646122701202696</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D63C4D-CB33-402A-A8EB-57019732DCC6}">
  <dimension ref="A1:GF15"/>
  <sheetViews>
    <sheetView workbookViewId="0">
      <selection activeCell="D17" sqref="D17"/>
    </sheetView>
  </sheetViews>
  <sheetFormatPr defaultRowHeight="15" x14ac:dyDescent="0.25"/>
  <cols>
    <col min="1" max="1" width="16.5703125" bestFit="1" customWidth="1"/>
    <col min="2" max="4" width="12.42578125" bestFit="1" customWidth="1"/>
    <col min="5" max="5" width="12" bestFit="1" customWidth="1"/>
    <col min="6" max="6" width="12.42578125" bestFit="1" customWidth="1"/>
    <col min="7" max="7" width="19.85546875" bestFit="1" customWidth="1"/>
    <col min="8" max="8" width="13.85546875" bestFit="1" customWidth="1"/>
    <col min="9" max="9" width="12" bestFit="1" customWidth="1"/>
    <col min="10" max="10" width="17.42578125" bestFit="1" customWidth="1"/>
    <col min="11" max="11" width="12.42578125" bestFit="1" customWidth="1"/>
    <col min="12" max="12" width="12" bestFit="1" customWidth="1"/>
    <col min="13" max="13" width="13.85546875" bestFit="1" customWidth="1"/>
    <col min="14" max="15" width="12" bestFit="1" customWidth="1"/>
    <col min="16" max="16" width="13.85546875" bestFit="1" customWidth="1"/>
    <col min="17" max="18" width="12" bestFit="1" customWidth="1"/>
    <col min="19" max="19" width="13.85546875" bestFit="1" customWidth="1"/>
    <col min="20" max="21" width="12" bestFit="1" customWidth="1"/>
    <col min="22" max="22" width="13.85546875" bestFit="1" customWidth="1"/>
    <col min="23" max="23" width="22.5703125" bestFit="1" customWidth="1"/>
    <col min="24" max="24" width="12" bestFit="1" customWidth="1"/>
    <col min="25" max="25" width="13.85546875" bestFit="1" customWidth="1"/>
    <col min="26" max="27" width="12.42578125" bestFit="1" customWidth="1"/>
    <col min="28" max="28" width="12.5703125" bestFit="1" customWidth="1"/>
    <col min="29" max="32" width="12" bestFit="1" customWidth="1"/>
    <col min="33" max="33" width="12.42578125" bestFit="1" customWidth="1"/>
    <col min="34" max="34" width="13.85546875" bestFit="1" customWidth="1"/>
    <col min="35" max="35" width="22.5703125" bestFit="1" customWidth="1"/>
    <col min="36" max="36" width="12" bestFit="1" customWidth="1"/>
    <col min="37" max="37" width="13.85546875" bestFit="1" customWidth="1"/>
    <col min="38" max="38" width="12" bestFit="1" customWidth="1"/>
    <col min="39" max="39" width="13.85546875" bestFit="1" customWidth="1"/>
    <col min="40" max="40" width="12" bestFit="1" customWidth="1"/>
    <col min="41" max="41" width="18.140625" bestFit="1" customWidth="1"/>
    <col min="42" max="42" width="16.85546875" bestFit="1" customWidth="1"/>
    <col min="43" max="43" width="13.85546875" bestFit="1" customWidth="1"/>
    <col min="44" max="44" width="12" bestFit="1" customWidth="1"/>
    <col min="45" max="45" width="12.42578125" bestFit="1" customWidth="1"/>
    <col min="46" max="46" width="13.85546875" bestFit="1" customWidth="1"/>
    <col min="47" max="47" width="12" bestFit="1" customWidth="1"/>
    <col min="48" max="49" width="12.42578125" bestFit="1" customWidth="1"/>
    <col min="50" max="50" width="12" bestFit="1" customWidth="1"/>
    <col min="51" max="51" width="13.85546875" bestFit="1" customWidth="1"/>
    <col min="52" max="52" width="19.140625" bestFit="1" customWidth="1"/>
    <col min="53" max="53" width="13.85546875" bestFit="1" customWidth="1"/>
    <col min="54" max="54" width="12" bestFit="1" customWidth="1"/>
    <col min="55" max="55" width="13.85546875" bestFit="1" customWidth="1"/>
    <col min="56" max="56" width="17" bestFit="1" customWidth="1"/>
    <col min="57" max="57" width="12" bestFit="1" customWidth="1"/>
    <col min="58" max="58" width="12.42578125" bestFit="1" customWidth="1"/>
    <col min="59" max="60" width="12" bestFit="1" customWidth="1"/>
    <col min="61" max="61" width="17.42578125" bestFit="1" customWidth="1"/>
    <col min="62" max="62" width="12.42578125" bestFit="1" customWidth="1"/>
    <col min="63" max="64" width="12" bestFit="1" customWidth="1"/>
    <col min="65" max="65" width="12.42578125" bestFit="1" customWidth="1"/>
    <col min="66" max="66" width="12" bestFit="1" customWidth="1"/>
    <col min="67" max="67" width="12.42578125" bestFit="1" customWidth="1"/>
    <col min="68" max="68" width="12" bestFit="1" customWidth="1"/>
    <col min="69" max="69" width="12.42578125" bestFit="1" customWidth="1"/>
    <col min="70" max="72" width="13.85546875" bestFit="1" customWidth="1"/>
    <col min="73" max="73" width="12" bestFit="1" customWidth="1"/>
    <col min="74" max="74" width="14.140625" bestFit="1" customWidth="1"/>
    <col min="75" max="76" width="13.85546875" bestFit="1" customWidth="1"/>
    <col min="77" max="77" width="12" bestFit="1" customWidth="1"/>
    <col min="78" max="78" width="13.85546875" bestFit="1" customWidth="1"/>
    <col min="79" max="80" width="12" bestFit="1" customWidth="1"/>
    <col min="81" max="82" width="12.42578125" bestFit="1" customWidth="1"/>
    <col min="83" max="83" width="12" bestFit="1" customWidth="1"/>
    <col min="84" max="84" width="12.42578125" bestFit="1" customWidth="1"/>
    <col min="85" max="87" width="12" bestFit="1" customWidth="1"/>
    <col min="88" max="88" width="13.85546875" bestFit="1" customWidth="1"/>
    <col min="89" max="89" width="12.42578125" bestFit="1" customWidth="1"/>
    <col min="90" max="92" width="12" bestFit="1" customWidth="1"/>
    <col min="93" max="93" width="12.42578125" bestFit="1" customWidth="1"/>
    <col min="94" max="94" width="12" bestFit="1" customWidth="1"/>
    <col min="95" max="95" width="12.42578125" bestFit="1" customWidth="1"/>
    <col min="96" max="96" width="12" bestFit="1" customWidth="1"/>
    <col min="97" max="97" width="12.42578125" bestFit="1" customWidth="1"/>
    <col min="98" max="98" width="12" bestFit="1" customWidth="1"/>
    <col min="99" max="99" width="12.42578125" bestFit="1" customWidth="1"/>
    <col min="100" max="100" width="12" bestFit="1" customWidth="1"/>
    <col min="101" max="101" width="12.42578125" bestFit="1" customWidth="1"/>
    <col min="102" max="102" width="12.5703125" bestFit="1" customWidth="1"/>
    <col min="103" max="103" width="12.42578125" bestFit="1" customWidth="1"/>
    <col min="104" max="105" width="12" bestFit="1" customWidth="1"/>
    <col min="106" max="106" width="12.42578125" bestFit="1" customWidth="1"/>
    <col min="107" max="108" width="12" bestFit="1" customWidth="1"/>
    <col min="109" max="109" width="12.42578125" bestFit="1" customWidth="1"/>
    <col min="110" max="110" width="12" bestFit="1" customWidth="1"/>
    <col min="111" max="112" width="12.42578125" bestFit="1" customWidth="1"/>
    <col min="113" max="113" width="13.85546875" bestFit="1" customWidth="1"/>
    <col min="114" max="115" width="12.42578125" bestFit="1" customWidth="1"/>
    <col min="116" max="116" width="11" bestFit="1" customWidth="1"/>
    <col min="117" max="118" width="12" bestFit="1" customWidth="1"/>
    <col min="119" max="119" width="12.42578125" bestFit="1" customWidth="1"/>
    <col min="120" max="122" width="12" bestFit="1" customWidth="1"/>
    <col min="123" max="123" width="17.42578125" bestFit="1" customWidth="1"/>
    <col min="124" max="124" width="13.85546875" bestFit="1" customWidth="1"/>
    <col min="125" max="125" width="12" bestFit="1" customWidth="1"/>
    <col min="126" max="126" width="12.42578125" bestFit="1" customWidth="1"/>
    <col min="127" max="127" width="16.42578125" bestFit="1" customWidth="1"/>
    <col min="128" max="128" width="12.42578125" bestFit="1" customWidth="1"/>
    <col min="129" max="129" width="12" bestFit="1" customWidth="1"/>
    <col min="130" max="131" width="12.42578125" bestFit="1" customWidth="1"/>
    <col min="132" max="132" width="18" bestFit="1" customWidth="1"/>
    <col min="133" max="134" width="13.85546875" bestFit="1" customWidth="1"/>
    <col min="135" max="137" width="12.42578125" bestFit="1" customWidth="1"/>
    <col min="138" max="138" width="12" bestFit="1" customWidth="1"/>
    <col min="139" max="139" width="12.42578125" bestFit="1" customWidth="1"/>
    <col min="140" max="141" width="12" bestFit="1" customWidth="1"/>
    <col min="142" max="142" width="19.140625" bestFit="1" customWidth="1"/>
    <col min="143" max="143" width="13.85546875" bestFit="1" customWidth="1"/>
    <col min="144" max="144" width="30.7109375" bestFit="1" customWidth="1"/>
    <col min="145" max="145" width="12" bestFit="1" customWidth="1"/>
    <col min="146" max="146" width="21.5703125" bestFit="1" customWidth="1"/>
    <col min="147" max="147" width="12.28515625" bestFit="1" customWidth="1"/>
    <col min="148" max="148" width="12" bestFit="1" customWidth="1"/>
    <col min="149" max="149" width="12.42578125" bestFit="1" customWidth="1"/>
    <col min="150" max="150" width="12" bestFit="1" customWidth="1"/>
    <col min="151" max="151" width="12.42578125" bestFit="1" customWidth="1"/>
    <col min="152" max="154" width="12" bestFit="1" customWidth="1"/>
    <col min="155" max="155" width="12.42578125" bestFit="1" customWidth="1"/>
    <col min="156" max="156" width="12" bestFit="1" customWidth="1"/>
    <col min="157" max="157" width="12.42578125" bestFit="1" customWidth="1"/>
    <col min="158" max="161" width="12" bestFit="1" customWidth="1"/>
    <col min="162" max="162" width="13.85546875" bestFit="1" customWidth="1"/>
    <col min="163" max="166" width="12" bestFit="1" customWidth="1"/>
    <col min="167" max="167" width="11" bestFit="1" customWidth="1"/>
    <col min="168" max="168" width="12.42578125" bestFit="1" customWidth="1"/>
    <col min="169" max="170" width="12" bestFit="1" customWidth="1"/>
    <col min="171" max="171" width="12.42578125" bestFit="1" customWidth="1"/>
    <col min="172" max="172" width="19.5703125" bestFit="1" customWidth="1"/>
    <col min="173" max="174" width="12.42578125" bestFit="1" customWidth="1"/>
    <col min="175" max="175" width="13.85546875" bestFit="1" customWidth="1"/>
    <col min="176" max="176" width="12" bestFit="1" customWidth="1"/>
    <col min="177" max="177" width="12.42578125" bestFit="1" customWidth="1"/>
    <col min="178" max="178" width="19.7109375" bestFit="1" customWidth="1"/>
    <col min="179" max="179" width="15.140625" bestFit="1" customWidth="1"/>
    <col min="180" max="180" width="13.85546875" bestFit="1" customWidth="1"/>
    <col min="181" max="181" width="12" bestFit="1" customWidth="1"/>
    <col min="182" max="182" width="13.85546875" bestFit="1" customWidth="1"/>
    <col min="183" max="183" width="12" bestFit="1" customWidth="1"/>
    <col min="184" max="184" width="19.140625" bestFit="1" customWidth="1"/>
    <col min="185" max="185" width="15" bestFit="1" customWidth="1"/>
    <col min="186" max="186" width="12" bestFit="1" customWidth="1"/>
    <col min="187" max="187" width="12.42578125" bestFit="1" customWidth="1"/>
    <col min="188" max="188" width="12" bestFit="1" customWidth="1"/>
  </cols>
  <sheetData>
    <row r="1" spans="1:188" x14ac:dyDescent="0.25">
      <c r="A1" s="24" t="str" cm="1">
        <f t="array" ref="A1:GF12">TRANSPOSE(data!A1:L188)</f>
        <v>Country/Region</v>
      </c>
      <c r="B1" s="24" t="str">
        <v>Afghanistan</v>
      </c>
      <c r="C1" s="24" t="str">
        <v>Albania</v>
      </c>
      <c r="D1" s="24" t="str">
        <v>Algeria</v>
      </c>
      <c r="E1" s="24" t="str">
        <v>Andorra</v>
      </c>
      <c r="F1" s="24" t="str">
        <v>Angola</v>
      </c>
      <c r="G1" s="24" t="str">
        <v>Antigua and Barbuda</v>
      </c>
      <c r="H1" s="24" t="str">
        <v>Argentina</v>
      </c>
      <c r="I1" s="24" t="str">
        <v>Armenia</v>
      </c>
      <c r="J1" s="24" t="str">
        <v>Australia</v>
      </c>
      <c r="K1" s="24" t="str">
        <v>Austria</v>
      </c>
      <c r="L1" s="24" t="str">
        <v>Azerbaijan</v>
      </c>
      <c r="M1" s="24" t="str">
        <v>Bahamas</v>
      </c>
      <c r="N1" s="24" t="str">
        <v>Bahrain</v>
      </c>
      <c r="O1" s="24" t="str">
        <v>Bangladesh</v>
      </c>
      <c r="P1" s="24" t="str">
        <v>Barbados</v>
      </c>
      <c r="Q1" s="24" t="str">
        <v>Belarus</v>
      </c>
      <c r="R1" s="24" t="str">
        <v>Belgium</v>
      </c>
      <c r="S1" s="24" t="str">
        <v>Belize</v>
      </c>
      <c r="T1" s="24" t="str">
        <v>Benin</v>
      </c>
      <c r="U1" s="24" t="str">
        <v>Bhutan</v>
      </c>
      <c r="V1" s="24" t="str">
        <v>Bolivia</v>
      </c>
      <c r="W1" s="24" t="str">
        <v>Bosnia and Herzegovina</v>
      </c>
      <c r="X1" s="24" t="str">
        <v>Botswana</v>
      </c>
      <c r="Y1" s="24" t="str">
        <v>Brazil</v>
      </c>
      <c r="Z1" s="24" t="str">
        <v>Brunei</v>
      </c>
      <c r="AA1" s="24" t="str">
        <v>Bulgaria</v>
      </c>
      <c r="AB1" s="24" t="str">
        <v>Burkina Faso</v>
      </c>
      <c r="AC1" s="24" t="str">
        <v>Myanmar</v>
      </c>
      <c r="AD1" s="24" t="str">
        <v>Burundi</v>
      </c>
      <c r="AE1" s="24" t="str">
        <v>Cabo Verde</v>
      </c>
      <c r="AF1" s="24" t="str">
        <v>Cambodia</v>
      </c>
      <c r="AG1" s="24" t="str">
        <v>Cameroon</v>
      </c>
      <c r="AH1" s="24" t="str">
        <v>Canada</v>
      </c>
      <c r="AI1" s="24" t="str">
        <v>Central African Republic</v>
      </c>
      <c r="AJ1" s="24" t="str">
        <v>Chad</v>
      </c>
      <c r="AK1" s="24" t="str">
        <v>Chile</v>
      </c>
      <c r="AL1" s="24" t="str">
        <v>China</v>
      </c>
      <c r="AM1" s="24" t="str">
        <v>Colombia</v>
      </c>
      <c r="AN1" s="24" t="str">
        <v>Comoros</v>
      </c>
      <c r="AO1" s="24" t="str">
        <v>Congo (Brazzaville)</v>
      </c>
      <c r="AP1" s="24" t="str">
        <v>Congo (Kinshasa)</v>
      </c>
      <c r="AQ1" s="24" t="str">
        <v>Costa Rica</v>
      </c>
      <c r="AR1" s="24" t="str">
        <v>Cote d'Ivoire</v>
      </c>
      <c r="AS1" s="24" t="str">
        <v>Croatia</v>
      </c>
      <c r="AT1" s="24" t="str">
        <v>Cuba</v>
      </c>
      <c r="AU1" s="24" t="str">
        <v>Cyprus</v>
      </c>
      <c r="AV1" s="24" t="str">
        <v>Czechia</v>
      </c>
      <c r="AW1" s="24" t="str">
        <v>Denmark</v>
      </c>
      <c r="AX1" s="24" t="str">
        <v>Djibouti</v>
      </c>
      <c r="AY1" s="24" t="str">
        <v>Dominica</v>
      </c>
      <c r="AZ1" s="24" t="str">
        <v>Dominican Republic</v>
      </c>
      <c r="BA1" s="24" t="str">
        <v>Ecuador</v>
      </c>
      <c r="BB1" s="24" t="str">
        <v>Egypt</v>
      </c>
      <c r="BC1" s="24" t="str">
        <v>El Salvador</v>
      </c>
      <c r="BD1" s="24" t="str">
        <v>Equatorial Guinea</v>
      </c>
      <c r="BE1" s="24" t="str">
        <v>Eritrea</v>
      </c>
      <c r="BF1" s="24" t="str">
        <v>Estonia</v>
      </c>
      <c r="BG1" s="24" t="str">
        <v>Eswatini</v>
      </c>
      <c r="BH1" s="24" t="str">
        <v>Ethiopia</v>
      </c>
      <c r="BI1" s="24" t="str">
        <v>Fiji</v>
      </c>
      <c r="BJ1" s="24" t="str">
        <v>Finland</v>
      </c>
      <c r="BK1" s="24" t="str">
        <v>France</v>
      </c>
      <c r="BL1" s="24" t="str">
        <v>Gabon</v>
      </c>
      <c r="BM1" s="24" t="str">
        <v>Gambia</v>
      </c>
      <c r="BN1" s="24" t="str">
        <v>Georgia</v>
      </c>
      <c r="BO1" s="24" t="str">
        <v>Germany</v>
      </c>
      <c r="BP1" s="24" t="str">
        <v>Ghana</v>
      </c>
      <c r="BQ1" s="24" t="str">
        <v>Greece</v>
      </c>
      <c r="BR1" s="24" t="str">
        <v>Greenland</v>
      </c>
      <c r="BS1" s="24" t="str">
        <v>Grenada</v>
      </c>
      <c r="BT1" s="24" t="str">
        <v>Guatemala</v>
      </c>
      <c r="BU1" s="24" t="str">
        <v>Guinea</v>
      </c>
      <c r="BV1" s="24" t="str">
        <v>Guinea-Bissau</v>
      </c>
      <c r="BW1" s="24" t="str">
        <v>Guyana</v>
      </c>
      <c r="BX1" s="24" t="str">
        <v>Haiti</v>
      </c>
      <c r="BY1" s="24" t="str">
        <v>Holy See</v>
      </c>
      <c r="BZ1" s="24" t="str">
        <v>Honduras</v>
      </c>
      <c r="CA1" s="24" t="str">
        <v>Hungary</v>
      </c>
      <c r="CB1" s="24" t="str">
        <v>Iceland</v>
      </c>
      <c r="CC1" s="24" t="str">
        <v>India</v>
      </c>
      <c r="CD1" s="24" t="str">
        <v>Indonesia</v>
      </c>
      <c r="CE1" s="24" t="str">
        <v>Iran</v>
      </c>
      <c r="CF1" s="24" t="str">
        <v>Iraq</v>
      </c>
      <c r="CG1" s="24" t="str">
        <v>Ireland</v>
      </c>
      <c r="CH1" s="24" t="str">
        <v>Israel</v>
      </c>
      <c r="CI1" s="24" t="str">
        <v>Italy</v>
      </c>
      <c r="CJ1" s="24" t="str">
        <v>Jamaica</v>
      </c>
      <c r="CK1" s="24" t="str">
        <v>Japan</v>
      </c>
      <c r="CL1" s="24" t="str">
        <v>Jordan</v>
      </c>
      <c r="CM1" s="24" t="str">
        <v>Kazakhstan</v>
      </c>
      <c r="CN1" s="24" t="str">
        <v>Kenya</v>
      </c>
      <c r="CO1" s="24" t="str">
        <v>Kosovo</v>
      </c>
      <c r="CP1" s="24" t="str">
        <v>Kuwait</v>
      </c>
      <c r="CQ1" s="24" t="str">
        <v>Kyrgyzstan</v>
      </c>
      <c r="CR1" s="24" t="str">
        <v>Laos</v>
      </c>
      <c r="CS1" s="24" t="str">
        <v>Latvia</v>
      </c>
      <c r="CT1" s="24" t="str">
        <v>Lebanon</v>
      </c>
      <c r="CU1" s="24" t="str">
        <v>Lesotho</v>
      </c>
      <c r="CV1" s="24" t="str">
        <v>Liberia</v>
      </c>
      <c r="CW1" s="24" t="str">
        <v>Libya</v>
      </c>
      <c r="CX1" s="24" t="str">
        <v>Liechtenstein</v>
      </c>
      <c r="CY1" s="24" t="str">
        <v>Lithuania</v>
      </c>
      <c r="CZ1" s="24" t="str">
        <v>Luxembourg</v>
      </c>
      <c r="DA1" s="24" t="str">
        <v>Madagascar</v>
      </c>
      <c r="DB1" s="24" t="str">
        <v>Malawi</v>
      </c>
      <c r="DC1" s="24" t="str">
        <v>Malaysia</v>
      </c>
      <c r="DD1" s="24" t="str">
        <v>Maldives</v>
      </c>
      <c r="DE1" s="24" t="str">
        <v>Mali</v>
      </c>
      <c r="DF1" s="24" t="str">
        <v>Malta</v>
      </c>
      <c r="DG1" s="24" t="str">
        <v>Mauritania</v>
      </c>
      <c r="DH1" s="24" t="str">
        <v>Mauritius</v>
      </c>
      <c r="DI1" s="24" t="str">
        <v>Mexico</v>
      </c>
      <c r="DJ1" s="24" t="str">
        <v>Moldova</v>
      </c>
      <c r="DK1" s="24" t="str">
        <v>Monaco</v>
      </c>
      <c r="DL1" s="24" t="str">
        <v>Mongolia</v>
      </c>
      <c r="DM1" s="24" t="str">
        <v>Montenegro</v>
      </c>
      <c r="DN1" s="24" t="str">
        <v>Morocco</v>
      </c>
      <c r="DO1" s="24" t="str">
        <v>Mozambique</v>
      </c>
      <c r="DP1" s="24" t="str">
        <v>Namibia</v>
      </c>
      <c r="DQ1" s="24" t="str">
        <v>Nepal</v>
      </c>
      <c r="DR1" s="24" t="str">
        <v>Netherlands</v>
      </c>
      <c r="DS1" s="24" t="str">
        <v>New Zealand</v>
      </c>
      <c r="DT1" s="24" t="str">
        <v>Nicaragua</v>
      </c>
      <c r="DU1" s="24" t="str">
        <v>Niger</v>
      </c>
      <c r="DV1" s="24" t="str">
        <v>Nigeria</v>
      </c>
      <c r="DW1" s="24" t="str">
        <v>North Macedonia</v>
      </c>
      <c r="DX1" s="24" t="str">
        <v>Norway</v>
      </c>
      <c r="DY1" s="24" t="str">
        <v>Oman</v>
      </c>
      <c r="DZ1" s="24" t="str">
        <v>Pakistan</v>
      </c>
      <c r="EA1" s="24" t="str">
        <v>Panama</v>
      </c>
      <c r="EB1" s="24" t="str">
        <v>Papua New Guinea</v>
      </c>
      <c r="EC1" s="24" t="str">
        <v>Paraguay</v>
      </c>
      <c r="ED1" s="24" t="str">
        <v>Peru</v>
      </c>
      <c r="EE1" s="24" t="str">
        <v>Philippines</v>
      </c>
      <c r="EF1" s="24" t="str">
        <v>Poland</v>
      </c>
      <c r="EG1" s="24" t="str">
        <v>Portugal</v>
      </c>
      <c r="EH1" s="24" t="str">
        <v>Qatar</v>
      </c>
      <c r="EI1" s="24" t="str">
        <v>Romania</v>
      </c>
      <c r="EJ1" s="24" t="str">
        <v>Russia</v>
      </c>
      <c r="EK1" s="24" t="str">
        <v>Rwanda</v>
      </c>
      <c r="EL1" s="24" t="str">
        <v>Saint Kitts and Nevis</v>
      </c>
      <c r="EM1" s="24" t="str">
        <v>Saint Lucia</v>
      </c>
      <c r="EN1" s="24" t="str">
        <v>Saint Vincent and the Grenadines</v>
      </c>
      <c r="EO1" s="24" t="str">
        <v>San Marino</v>
      </c>
      <c r="EP1" s="24" t="str">
        <v>Sao Tome and Principe</v>
      </c>
      <c r="EQ1" s="24" t="str">
        <v>Saudi Arabia</v>
      </c>
      <c r="ER1" s="24" t="str">
        <v>Senegal</v>
      </c>
      <c r="ES1" s="24" t="str">
        <v>Serbia</v>
      </c>
      <c r="ET1" s="24" t="str">
        <v>Seychelles</v>
      </c>
      <c r="EU1" s="24" t="str">
        <v>Sierra Leone</v>
      </c>
      <c r="EV1" s="24" t="str">
        <v>Singapore</v>
      </c>
      <c r="EW1" s="24" t="str">
        <v>Slovakia</v>
      </c>
      <c r="EX1" s="24" t="str">
        <v>Slovenia</v>
      </c>
      <c r="EY1" s="24" t="str">
        <v>Somalia</v>
      </c>
      <c r="EZ1" s="24" t="str">
        <v>South Africa</v>
      </c>
      <c r="FA1" s="24" t="str">
        <v>South Korea</v>
      </c>
      <c r="FB1" s="24" t="str">
        <v>South Sudan</v>
      </c>
      <c r="FC1" s="24" t="str">
        <v>Spain</v>
      </c>
      <c r="FD1" s="24" t="str">
        <v>Sri Lanka</v>
      </c>
      <c r="FE1" s="24" t="str">
        <v>Sudan</v>
      </c>
      <c r="FF1" s="24" t="str">
        <v>Suriname</v>
      </c>
      <c r="FG1" s="24" t="str">
        <v>Sweden</v>
      </c>
      <c r="FH1" s="24" t="str">
        <v>Switzerland</v>
      </c>
      <c r="FI1" s="24" t="str">
        <v>Syria</v>
      </c>
      <c r="FJ1" s="24" t="str">
        <v>Taiwan</v>
      </c>
      <c r="FK1" s="24" t="str">
        <v>Tajikistan</v>
      </c>
      <c r="FL1" s="24" t="str">
        <v>Tanzania</v>
      </c>
      <c r="FM1" s="24" t="str">
        <v>Thailand</v>
      </c>
      <c r="FN1" s="24" t="str">
        <v>Timor-Leste</v>
      </c>
      <c r="FO1" s="24" t="str">
        <v>Togo</v>
      </c>
      <c r="FP1" s="24" t="str">
        <v>Trinidad and Tobago</v>
      </c>
      <c r="FQ1" s="24" t="str">
        <v>Tunisia</v>
      </c>
      <c r="FR1" s="24" t="str">
        <v>Turkey</v>
      </c>
      <c r="FS1" s="24" t="str">
        <v>US</v>
      </c>
      <c r="FT1" s="24" t="str">
        <v>Uganda</v>
      </c>
      <c r="FU1" s="24" t="str">
        <v>Ukraine</v>
      </c>
      <c r="FV1" s="24" t="str">
        <v>United Arab Emirates</v>
      </c>
      <c r="FW1" s="24" t="str">
        <v>United Kingdom</v>
      </c>
      <c r="FX1" s="24" t="str">
        <v>Uruguay</v>
      </c>
      <c r="FY1" s="24" t="str">
        <v>Uzbekistan</v>
      </c>
      <c r="FZ1" s="24" t="str">
        <v>Venezuela</v>
      </c>
      <c r="GA1" s="24" t="str">
        <v>Vietnam</v>
      </c>
      <c r="GB1" s="24" t="str">
        <v>West Bank and Gaza</v>
      </c>
      <c r="GC1" s="24" t="str">
        <v>Western Sahara</v>
      </c>
      <c r="GD1" s="24" t="str">
        <v>Yemen</v>
      </c>
      <c r="GE1" s="24" t="str">
        <v>Zambia</v>
      </c>
      <c r="GF1" s="24" t="str">
        <v>Zimbabwe</v>
      </c>
    </row>
    <row r="2" spans="1:188" x14ac:dyDescent="0.25">
      <c r="A2" s="24" t="str">
        <v>Confirmed</v>
      </c>
      <c r="B2" s="24">
        <v>36263</v>
      </c>
      <c r="C2" s="24">
        <v>4880</v>
      </c>
      <c r="D2" s="24">
        <v>27973</v>
      </c>
      <c r="E2" s="24">
        <v>907</v>
      </c>
      <c r="F2" s="24">
        <v>950</v>
      </c>
      <c r="G2" s="24">
        <v>86</v>
      </c>
      <c r="H2" s="24">
        <v>167416</v>
      </c>
      <c r="I2" s="24">
        <v>37390</v>
      </c>
      <c r="J2" s="24">
        <v>15303</v>
      </c>
      <c r="K2" s="24">
        <v>20558</v>
      </c>
      <c r="L2" s="24">
        <v>30446</v>
      </c>
      <c r="M2" s="24">
        <v>382</v>
      </c>
      <c r="N2" s="24">
        <v>39482</v>
      </c>
      <c r="O2" s="24">
        <v>226225</v>
      </c>
      <c r="P2" s="24">
        <v>110</v>
      </c>
      <c r="Q2" s="24">
        <v>67251</v>
      </c>
      <c r="R2" s="24">
        <v>66428</v>
      </c>
      <c r="S2" s="24">
        <v>48</v>
      </c>
      <c r="T2" s="24">
        <v>1770</v>
      </c>
      <c r="U2" s="24">
        <v>99</v>
      </c>
      <c r="V2" s="24">
        <v>71181</v>
      </c>
      <c r="W2" s="24">
        <v>10498</v>
      </c>
      <c r="X2" s="24">
        <v>739</v>
      </c>
      <c r="Y2" s="24">
        <v>2442375</v>
      </c>
      <c r="Z2" s="24">
        <v>141</v>
      </c>
      <c r="AA2" s="24">
        <v>10621</v>
      </c>
      <c r="AB2" s="24">
        <v>1100</v>
      </c>
      <c r="AC2" s="24">
        <v>350</v>
      </c>
      <c r="AD2" s="24">
        <v>378</v>
      </c>
      <c r="AE2" s="24">
        <v>2328</v>
      </c>
      <c r="AF2" s="24">
        <v>226</v>
      </c>
      <c r="AG2" s="24">
        <v>17110</v>
      </c>
      <c r="AH2" s="24">
        <v>116458</v>
      </c>
      <c r="AI2" s="24">
        <v>4599</v>
      </c>
      <c r="AJ2" s="24">
        <v>922</v>
      </c>
      <c r="AK2" s="24">
        <v>347923</v>
      </c>
      <c r="AL2" s="24">
        <v>86783</v>
      </c>
      <c r="AM2" s="24">
        <v>257101</v>
      </c>
      <c r="AN2" s="24">
        <v>354</v>
      </c>
      <c r="AO2" s="24">
        <v>3200</v>
      </c>
      <c r="AP2" s="24">
        <v>8844</v>
      </c>
      <c r="AQ2" s="24">
        <v>15841</v>
      </c>
      <c r="AR2" s="24">
        <v>15655</v>
      </c>
      <c r="AS2" s="24">
        <v>4881</v>
      </c>
      <c r="AT2" s="24">
        <v>2532</v>
      </c>
      <c r="AU2" s="24">
        <v>1060</v>
      </c>
      <c r="AV2" s="24">
        <v>15516</v>
      </c>
      <c r="AW2" s="24">
        <v>13761</v>
      </c>
      <c r="AX2" s="24">
        <v>5059</v>
      </c>
      <c r="AY2" s="24">
        <v>18</v>
      </c>
      <c r="AZ2" s="24">
        <v>64156</v>
      </c>
      <c r="BA2" s="24">
        <v>81161</v>
      </c>
      <c r="BB2" s="24">
        <v>92482</v>
      </c>
      <c r="BC2" s="24">
        <v>15035</v>
      </c>
      <c r="BD2" s="24">
        <v>3071</v>
      </c>
      <c r="BE2" s="24">
        <v>265</v>
      </c>
      <c r="BF2" s="24">
        <v>2034</v>
      </c>
      <c r="BG2" s="24">
        <v>2316</v>
      </c>
      <c r="BH2" s="24">
        <v>14547</v>
      </c>
      <c r="BI2" s="24">
        <v>27</v>
      </c>
      <c r="BJ2" s="24">
        <v>7398</v>
      </c>
      <c r="BK2" s="24">
        <v>220352</v>
      </c>
      <c r="BL2" s="24">
        <v>7189</v>
      </c>
      <c r="BM2" s="24">
        <v>326</v>
      </c>
      <c r="BN2" s="24">
        <v>1137</v>
      </c>
      <c r="BO2" s="24">
        <v>207112</v>
      </c>
      <c r="BP2" s="24">
        <v>33624</v>
      </c>
      <c r="BQ2" s="24">
        <v>4227</v>
      </c>
      <c r="BR2" s="24">
        <v>14</v>
      </c>
      <c r="BS2" s="24">
        <v>23</v>
      </c>
      <c r="BT2" s="24">
        <v>45309</v>
      </c>
      <c r="BU2" s="24">
        <v>7055</v>
      </c>
      <c r="BV2" s="24">
        <v>1954</v>
      </c>
      <c r="BW2" s="24">
        <v>389</v>
      </c>
      <c r="BX2" s="24">
        <v>7340</v>
      </c>
      <c r="BY2" s="24">
        <v>12</v>
      </c>
      <c r="BZ2" s="24">
        <v>39741</v>
      </c>
      <c r="CA2" s="24">
        <v>4448</v>
      </c>
      <c r="CB2" s="24">
        <v>1854</v>
      </c>
      <c r="CC2" s="24">
        <v>1480073</v>
      </c>
      <c r="CD2" s="24">
        <v>100303</v>
      </c>
      <c r="CE2" s="24">
        <v>293606</v>
      </c>
      <c r="CF2" s="24">
        <v>112585</v>
      </c>
      <c r="CG2" s="24">
        <v>25892</v>
      </c>
      <c r="CH2" s="24">
        <v>63985</v>
      </c>
      <c r="CI2" s="24">
        <v>246286</v>
      </c>
      <c r="CJ2" s="24">
        <v>853</v>
      </c>
      <c r="CK2" s="24">
        <v>31142</v>
      </c>
      <c r="CL2" s="24">
        <v>1176</v>
      </c>
      <c r="CM2" s="24">
        <v>84648</v>
      </c>
      <c r="CN2" s="24">
        <v>17975</v>
      </c>
      <c r="CO2" s="24">
        <v>7413</v>
      </c>
      <c r="CP2" s="24">
        <v>64379</v>
      </c>
      <c r="CQ2" s="24">
        <v>33296</v>
      </c>
      <c r="CR2" s="24">
        <v>20</v>
      </c>
      <c r="CS2" s="24">
        <v>1219</v>
      </c>
      <c r="CT2" s="24">
        <v>3882</v>
      </c>
      <c r="CU2" s="24">
        <v>505</v>
      </c>
      <c r="CV2" s="24">
        <v>1167</v>
      </c>
      <c r="CW2" s="24">
        <v>2827</v>
      </c>
      <c r="CX2" s="24">
        <v>86</v>
      </c>
      <c r="CY2" s="24">
        <v>2019</v>
      </c>
      <c r="CZ2" s="24">
        <v>6321</v>
      </c>
      <c r="DA2" s="24">
        <v>9690</v>
      </c>
      <c r="DB2" s="24">
        <v>3664</v>
      </c>
      <c r="DC2" s="24">
        <v>8904</v>
      </c>
      <c r="DD2" s="24">
        <v>3369</v>
      </c>
      <c r="DE2" s="24">
        <v>2513</v>
      </c>
      <c r="DF2" s="24">
        <v>701</v>
      </c>
      <c r="DG2" s="24">
        <v>6208</v>
      </c>
      <c r="DH2" s="24">
        <v>344</v>
      </c>
      <c r="DI2" s="24">
        <v>395489</v>
      </c>
      <c r="DJ2" s="24">
        <v>23154</v>
      </c>
      <c r="DK2" s="24">
        <v>116</v>
      </c>
      <c r="DL2" s="24">
        <v>289</v>
      </c>
      <c r="DM2" s="24">
        <v>2893</v>
      </c>
      <c r="DN2" s="24">
        <v>20887</v>
      </c>
      <c r="DO2" s="24">
        <v>1701</v>
      </c>
      <c r="DP2" s="24">
        <v>1843</v>
      </c>
      <c r="DQ2" s="24">
        <v>18752</v>
      </c>
      <c r="DR2" s="24">
        <v>53413</v>
      </c>
      <c r="DS2" s="24">
        <v>1557</v>
      </c>
      <c r="DT2" s="24">
        <v>3439</v>
      </c>
      <c r="DU2" s="24">
        <v>1132</v>
      </c>
      <c r="DV2" s="24">
        <v>41180</v>
      </c>
      <c r="DW2" s="24">
        <v>10213</v>
      </c>
      <c r="DX2" s="24">
        <v>9132</v>
      </c>
      <c r="DY2" s="24">
        <v>77058</v>
      </c>
      <c r="DZ2" s="24">
        <v>274289</v>
      </c>
      <c r="EA2" s="24">
        <v>61442</v>
      </c>
      <c r="EB2" s="24">
        <v>62</v>
      </c>
      <c r="EC2" s="24">
        <v>4548</v>
      </c>
      <c r="ED2" s="24">
        <v>389717</v>
      </c>
      <c r="EE2" s="24">
        <v>82040</v>
      </c>
      <c r="EF2" s="24">
        <v>43402</v>
      </c>
      <c r="EG2" s="24">
        <v>50299</v>
      </c>
      <c r="EH2" s="24">
        <v>109597</v>
      </c>
      <c r="EI2" s="24">
        <v>45902</v>
      </c>
      <c r="EJ2" s="24">
        <v>816680</v>
      </c>
      <c r="EK2" s="24">
        <v>1879</v>
      </c>
      <c r="EL2" s="24">
        <v>17</v>
      </c>
      <c r="EM2" s="24">
        <v>24</v>
      </c>
      <c r="EN2" s="24">
        <v>52</v>
      </c>
      <c r="EO2" s="24">
        <v>699</v>
      </c>
      <c r="EP2" s="24">
        <v>865</v>
      </c>
      <c r="EQ2" s="24">
        <v>268934</v>
      </c>
      <c r="ER2" s="24">
        <v>9764</v>
      </c>
      <c r="ES2" s="24">
        <v>24141</v>
      </c>
      <c r="ET2" s="24">
        <v>114</v>
      </c>
      <c r="EU2" s="24">
        <v>1783</v>
      </c>
      <c r="EV2" s="24">
        <v>50838</v>
      </c>
      <c r="EW2" s="24">
        <v>2181</v>
      </c>
      <c r="EX2" s="24">
        <v>2087</v>
      </c>
      <c r="EY2" s="24">
        <v>3196</v>
      </c>
      <c r="EZ2" s="24">
        <v>452529</v>
      </c>
      <c r="FA2" s="24">
        <v>14203</v>
      </c>
      <c r="FB2" s="24">
        <v>2305</v>
      </c>
      <c r="FC2" s="24">
        <v>272421</v>
      </c>
      <c r="FD2" s="24">
        <v>2805</v>
      </c>
      <c r="FE2" s="24">
        <v>11424</v>
      </c>
      <c r="FF2" s="24">
        <v>1483</v>
      </c>
      <c r="FG2" s="24">
        <v>79395</v>
      </c>
      <c r="FH2" s="24">
        <v>34477</v>
      </c>
      <c r="FI2" s="24">
        <v>674</v>
      </c>
      <c r="FJ2" s="24">
        <v>462</v>
      </c>
      <c r="FK2" s="24">
        <v>7235</v>
      </c>
      <c r="FL2" s="24">
        <v>509</v>
      </c>
      <c r="FM2" s="24">
        <v>3297</v>
      </c>
      <c r="FN2" s="24">
        <v>24</v>
      </c>
      <c r="FO2" s="24">
        <v>874</v>
      </c>
      <c r="FP2" s="24">
        <v>148</v>
      </c>
      <c r="FQ2" s="24">
        <v>1455</v>
      </c>
      <c r="FR2" s="24">
        <v>227019</v>
      </c>
      <c r="FS2" s="24">
        <v>4290259</v>
      </c>
      <c r="FT2" s="24">
        <v>1128</v>
      </c>
      <c r="FU2" s="24">
        <v>67096</v>
      </c>
      <c r="FV2" s="24">
        <v>59177</v>
      </c>
      <c r="FW2" s="24">
        <v>301708</v>
      </c>
      <c r="FX2" s="24">
        <v>1202</v>
      </c>
      <c r="FY2" s="24">
        <v>21209</v>
      </c>
      <c r="FZ2" s="24">
        <v>15988</v>
      </c>
      <c r="GA2" s="24">
        <v>431</v>
      </c>
      <c r="GB2" s="24">
        <v>10621</v>
      </c>
      <c r="GC2" s="24">
        <v>10</v>
      </c>
      <c r="GD2" s="24">
        <v>1691</v>
      </c>
      <c r="GE2" s="24">
        <v>4552</v>
      </c>
      <c r="GF2" s="24">
        <v>2704</v>
      </c>
    </row>
    <row r="3" spans="1:188" x14ac:dyDescent="0.25">
      <c r="A3" s="24" t="str">
        <v>Deaths</v>
      </c>
      <c r="B3" s="24">
        <v>1269</v>
      </c>
      <c r="C3" s="24">
        <v>144</v>
      </c>
      <c r="D3" s="24">
        <v>1163</v>
      </c>
      <c r="E3" s="24">
        <v>52</v>
      </c>
      <c r="F3" s="24">
        <v>41</v>
      </c>
      <c r="G3" s="24">
        <v>3</v>
      </c>
      <c r="H3" s="24">
        <v>3059</v>
      </c>
      <c r="I3" s="24">
        <v>711</v>
      </c>
      <c r="J3" s="24">
        <v>167</v>
      </c>
      <c r="K3" s="24">
        <v>713</v>
      </c>
      <c r="L3" s="24">
        <v>423</v>
      </c>
      <c r="M3" s="24">
        <v>11</v>
      </c>
      <c r="N3" s="24">
        <v>141</v>
      </c>
      <c r="O3" s="24">
        <v>2965</v>
      </c>
      <c r="P3" s="24">
        <v>7</v>
      </c>
      <c r="Q3" s="24">
        <v>538</v>
      </c>
      <c r="R3" s="24">
        <v>9822</v>
      </c>
      <c r="S3" s="24">
        <v>2</v>
      </c>
      <c r="T3" s="24">
        <v>35</v>
      </c>
      <c r="U3" s="24">
        <v>0</v>
      </c>
      <c r="V3" s="24">
        <v>2647</v>
      </c>
      <c r="W3" s="24">
        <v>294</v>
      </c>
      <c r="X3" s="24">
        <v>2</v>
      </c>
      <c r="Y3" s="24">
        <v>87618</v>
      </c>
      <c r="Z3" s="24">
        <v>3</v>
      </c>
      <c r="AA3" s="24">
        <v>347</v>
      </c>
      <c r="AB3" s="24">
        <v>53</v>
      </c>
      <c r="AC3" s="24">
        <v>6</v>
      </c>
      <c r="AD3" s="24">
        <v>1</v>
      </c>
      <c r="AE3" s="24">
        <v>22</v>
      </c>
      <c r="AF3" s="24">
        <v>0</v>
      </c>
      <c r="AG3" s="24">
        <v>391</v>
      </c>
      <c r="AH3" s="24">
        <v>8944</v>
      </c>
      <c r="AI3" s="24">
        <v>59</v>
      </c>
      <c r="AJ3" s="24">
        <v>75</v>
      </c>
      <c r="AK3" s="24">
        <v>9187</v>
      </c>
      <c r="AL3" s="24">
        <v>4656</v>
      </c>
      <c r="AM3" s="24">
        <v>8777</v>
      </c>
      <c r="AN3" s="24">
        <v>7</v>
      </c>
      <c r="AO3" s="24">
        <v>54</v>
      </c>
      <c r="AP3" s="24">
        <v>208</v>
      </c>
      <c r="AQ3" s="24">
        <v>115</v>
      </c>
      <c r="AR3" s="24">
        <v>96</v>
      </c>
      <c r="AS3" s="24">
        <v>139</v>
      </c>
      <c r="AT3" s="24">
        <v>87</v>
      </c>
      <c r="AU3" s="24">
        <v>19</v>
      </c>
      <c r="AV3" s="24">
        <v>373</v>
      </c>
      <c r="AW3" s="24">
        <v>613</v>
      </c>
      <c r="AX3" s="24">
        <v>58</v>
      </c>
      <c r="AY3" s="24">
        <v>0</v>
      </c>
      <c r="AZ3" s="24">
        <v>1083</v>
      </c>
      <c r="BA3" s="24">
        <v>5532</v>
      </c>
      <c r="BB3" s="24">
        <v>4652</v>
      </c>
      <c r="BC3" s="24">
        <v>408</v>
      </c>
      <c r="BD3" s="24">
        <v>51</v>
      </c>
      <c r="BE3" s="24">
        <v>0</v>
      </c>
      <c r="BF3" s="24">
        <v>69</v>
      </c>
      <c r="BG3" s="24">
        <v>34</v>
      </c>
      <c r="BH3" s="24">
        <v>228</v>
      </c>
      <c r="BI3" s="24">
        <v>0</v>
      </c>
      <c r="BJ3" s="24">
        <v>329</v>
      </c>
      <c r="BK3" s="24">
        <v>30212</v>
      </c>
      <c r="BL3" s="24">
        <v>49</v>
      </c>
      <c r="BM3" s="24">
        <v>8</v>
      </c>
      <c r="BN3" s="24">
        <v>16</v>
      </c>
      <c r="BO3" s="24">
        <v>9125</v>
      </c>
      <c r="BP3" s="24">
        <v>168</v>
      </c>
      <c r="BQ3" s="24">
        <v>202</v>
      </c>
      <c r="BR3" s="24">
        <v>0</v>
      </c>
      <c r="BS3" s="24">
        <v>0</v>
      </c>
      <c r="BT3" s="24">
        <v>1761</v>
      </c>
      <c r="BU3" s="24">
        <v>45</v>
      </c>
      <c r="BV3" s="24">
        <v>26</v>
      </c>
      <c r="BW3" s="24">
        <v>20</v>
      </c>
      <c r="BX3" s="24">
        <v>158</v>
      </c>
      <c r="BY3" s="24">
        <v>0</v>
      </c>
      <c r="BZ3" s="24">
        <v>1166</v>
      </c>
      <c r="CA3" s="24">
        <v>596</v>
      </c>
      <c r="CB3" s="24">
        <v>10</v>
      </c>
      <c r="CC3" s="24">
        <v>33408</v>
      </c>
      <c r="CD3" s="24">
        <v>4838</v>
      </c>
      <c r="CE3" s="24">
        <v>15912</v>
      </c>
      <c r="CF3" s="24">
        <v>4458</v>
      </c>
      <c r="CG3" s="24">
        <v>1764</v>
      </c>
      <c r="CH3" s="24">
        <v>474</v>
      </c>
      <c r="CI3" s="24">
        <v>35112</v>
      </c>
      <c r="CJ3" s="24">
        <v>10</v>
      </c>
      <c r="CK3" s="24">
        <v>998</v>
      </c>
      <c r="CL3" s="24">
        <v>11</v>
      </c>
      <c r="CM3" s="24">
        <v>585</v>
      </c>
      <c r="CN3" s="24">
        <v>285</v>
      </c>
      <c r="CO3" s="24">
        <v>185</v>
      </c>
      <c r="CP3" s="24">
        <v>438</v>
      </c>
      <c r="CQ3" s="24">
        <v>1301</v>
      </c>
      <c r="CR3" s="24">
        <v>0</v>
      </c>
      <c r="CS3" s="24">
        <v>31</v>
      </c>
      <c r="CT3" s="24">
        <v>51</v>
      </c>
      <c r="CU3" s="24">
        <v>12</v>
      </c>
      <c r="CV3" s="24">
        <v>72</v>
      </c>
      <c r="CW3" s="24">
        <v>64</v>
      </c>
      <c r="CX3" s="24">
        <v>1</v>
      </c>
      <c r="CY3" s="24">
        <v>80</v>
      </c>
      <c r="CZ3" s="24">
        <v>112</v>
      </c>
      <c r="DA3" s="24">
        <v>91</v>
      </c>
      <c r="DB3" s="24">
        <v>99</v>
      </c>
      <c r="DC3" s="24">
        <v>124</v>
      </c>
      <c r="DD3" s="24">
        <v>15</v>
      </c>
      <c r="DE3" s="24">
        <v>124</v>
      </c>
      <c r="DF3" s="24">
        <v>9</v>
      </c>
      <c r="DG3" s="24">
        <v>156</v>
      </c>
      <c r="DH3" s="24">
        <v>10</v>
      </c>
      <c r="DI3" s="24">
        <v>44022</v>
      </c>
      <c r="DJ3" s="24">
        <v>748</v>
      </c>
      <c r="DK3" s="24">
        <v>4</v>
      </c>
      <c r="DL3" s="24">
        <v>0</v>
      </c>
      <c r="DM3" s="24">
        <v>45</v>
      </c>
      <c r="DN3" s="24">
        <v>316</v>
      </c>
      <c r="DO3" s="24">
        <v>11</v>
      </c>
      <c r="DP3" s="24">
        <v>8</v>
      </c>
      <c r="DQ3" s="24">
        <v>48</v>
      </c>
      <c r="DR3" s="24">
        <v>6160</v>
      </c>
      <c r="DS3" s="24">
        <v>22</v>
      </c>
      <c r="DT3" s="24">
        <v>108</v>
      </c>
      <c r="DU3" s="24">
        <v>69</v>
      </c>
      <c r="DV3" s="24">
        <v>860</v>
      </c>
      <c r="DW3" s="24">
        <v>466</v>
      </c>
      <c r="DX3" s="24">
        <v>255</v>
      </c>
      <c r="DY3" s="24">
        <v>393</v>
      </c>
      <c r="DZ3" s="24">
        <v>5842</v>
      </c>
      <c r="EA3" s="24">
        <v>1322</v>
      </c>
      <c r="EB3" s="24">
        <v>0</v>
      </c>
      <c r="EC3" s="24">
        <v>43</v>
      </c>
      <c r="ED3" s="24">
        <v>18418</v>
      </c>
      <c r="EE3" s="24">
        <v>1945</v>
      </c>
      <c r="EF3" s="24">
        <v>1676</v>
      </c>
      <c r="EG3" s="24">
        <v>1719</v>
      </c>
      <c r="EH3" s="24">
        <v>165</v>
      </c>
      <c r="EI3" s="24">
        <v>2206</v>
      </c>
      <c r="EJ3" s="24">
        <v>13334</v>
      </c>
      <c r="EK3" s="24">
        <v>5</v>
      </c>
      <c r="EL3" s="24">
        <v>0</v>
      </c>
      <c r="EM3" s="24">
        <v>0</v>
      </c>
      <c r="EN3" s="24">
        <v>0</v>
      </c>
      <c r="EO3" s="24">
        <v>42</v>
      </c>
      <c r="EP3" s="24">
        <v>14</v>
      </c>
      <c r="EQ3" s="24">
        <v>2760</v>
      </c>
      <c r="ER3" s="24">
        <v>194</v>
      </c>
      <c r="ES3" s="24">
        <v>543</v>
      </c>
      <c r="ET3" s="24">
        <v>0</v>
      </c>
      <c r="EU3" s="24">
        <v>66</v>
      </c>
      <c r="EV3" s="24">
        <v>27</v>
      </c>
      <c r="EW3" s="24">
        <v>28</v>
      </c>
      <c r="EX3" s="24">
        <v>116</v>
      </c>
      <c r="EY3" s="24">
        <v>93</v>
      </c>
      <c r="EZ3" s="24">
        <v>7067</v>
      </c>
      <c r="FA3" s="24">
        <v>300</v>
      </c>
      <c r="FB3" s="24">
        <v>46</v>
      </c>
      <c r="FC3" s="24">
        <v>28432</v>
      </c>
      <c r="FD3" s="24">
        <v>11</v>
      </c>
      <c r="FE3" s="24">
        <v>720</v>
      </c>
      <c r="FF3" s="24">
        <v>24</v>
      </c>
      <c r="FG3" s="24">
        <v>5700</v>
      </c>
      <c r="FH3" s="24">
        <v>1978</v>
      </c>
      <c r="FI3" s="24">
        <v>40</v>
      </c>
      <c r="FJ3" s="24">
        <v>7</v>
      </c>
      <c r="FK3" s="24">
        <v>60</v>
      </c>
      <c r="FL3" s="24">
        <v>21</v>
      </c>
      <c r="FM3" s="24">
        <v>58</v>
      </c>
      <c r="FN3" s="24">
        <v>0</v>
      </c>
      <c r="FO3" s="24">
        <v>18</v>
      </c>
      <c r="FP3" s="24">
        <v>8</v>
      </c>
      <c r="FQ3" s="24">
        <v>50</v>
      </c>
      <c r="FR3" s="24">
        <v>5630</v>
      </c>
      <c r="FS3" s="24">
        <v>148011</v>
      </c>
      <c r="FT3" s="24">
        <v>2</v>
      </c>
      <c r="FU3" s="24">
        <v>1636</v>
      </c>
      <c r="FV3" s="24">
        <v>345</v>
      </c>
      <c r="FW3" s="24">
        <v>45844</v>
      </c>
      <c r="FX3" s="24">
        <v>35</v>
      </c>
      <c r="FY3" s="24">
        <v>121</v>
      </c>
      <c r="FZ3" s="24">
        <v>146</v>
      </c>
      <c r="GA3" s="24">
        <v>0</v>
      </c>
      <c r="GB3" s="24">
        <v>78</v>
      </c>
      <c r="GC3" s="24">
        <v>1</v>
      </c>
      <c r="GD3" s="24">
        <v>483</v>
      </c>
      <c r="GE3" s="24">
        <v>140</v>
      </c>
      <c r="GF3" s="24">
        <v>36</v>
      </c>
    </row>
    <row r="4" spans="1:188" x14ac:dyDescent="0.25">
      <c r="A4" s="24" t="str">
        <v>Recovered</v>
      </c>
      <c r="B4" s="24">
        <v>25198</v>
      </c>
      <c r="C4" s="24">
        <v>2745</v>
      </c>
      <c r="D4" s="24">
        <v>18837</v>
      </c>
      <c r="E4" s="24">
        <v>803</v>
      </c>
      <c r="F4" s="24">
        <v>242</v>
      </c>
      <c r="G4" s="24">
        <v>65</v>
      </c>
      <c r="H4" s="24">
        <v>72575</v>
      </c>
      <c r="I4" s="24">
        <v>26665</v>
      </c>
      <c r="J4" s="24">
        <v>9311</v>
      </c>
      <c r="K4" s="24">
        <v>18246</v>
      </c>
      <c r="L4" s="24">
        <v>23242</v>
      </c>
      <c r="M4" s="24">
        <v>91</v>
      </c>
      <c r="N4" s="24">
        <v>36110</v>
      </c>
      <c r="O4" s="24">
        <v>125683</v>
      </c>
      <c r="P4" s="24">
        <v>94</v>
      </c>
      <c r="Q4" s="24">
        <v>60492</v>
      </c>
      <c r="R4" s="24">
        <v>17452</v>
      </c>
      <c r="S4" s="24">
        <v>26</v>
      </c>
      <c r="T4" s="24">
        <v>1036</v>
      </c>
      <c r="U4" s="24">
        <v>86</v>
      </c>
      <c r="V4" s="24">
        <v>21478</v>
      </c>
      <c r="W4" s="24">
        <v>4930</v>
      </c>
      <c r="X4" s="24">
        <v>63</v>
      </c>
      <c r="Y4" s="24">
        <v>1846641</v>
      </c>
      <c r="Z4" s="24">
        <v>138</v>
      </c>
      <c r="AA4" s="24">
        <v>5585</v>
      </c>
      <c r="AB4" s="24">
        <v>926</v>
      </c>
      <c r="AC4" s="24">
        <v>292</v>
      </c>
      <c r="AD4" s="24">
        <v>301</v>
      </c>
      <c r="AE4" s="24">
        <v>1550</v>
      </c>
      <c r="AF4" s="24">
        <v>147</v>
      </c>
      <c r="AG4" s="24">
        <v>14539</v>
      </c>
      <c r="AH4" s="24">
        <v>0</v>
      </c>
      <c r="AI4" s="24">
        <v>1546</v>
      </c>
      <c r="AJ4" s="24">
        <v>810</v>
      </c>
      <c r="AK4" s="24">
        <v>319954</v>
      </c>
      <c r="AL4" s="24">
        <v>78869</v>
      </c>
      <c r="AM4" s="24">
        <v>131161</v>
      </c>
      <c r="AN4" s="24">
        <v>328</v>
      </c>
      <c r="AO4" s="24">
        <v>829</v>
      </c>
      <c r="AP4" s="24">
        <v>5700</v>
      </c>
      <c r="AQ4" s="24">
        <v>3824</v>
      </c>
      <c r="AR4" s="24">
        <v>10361</v>
      </c>
      <c r="AS4" s="24">
        <v>3936</v>
      </c>
      <c r="AT4" s="24">
        <v>2351</v>
      </c>
      <c r="AU4" s="24">
        <v>852</v>
      </c>
      <c r="AV4" s="24">
        <v>11428</v>
      </c>
      <c r="AW4" s="24">
        <v>12605</v>
      </c>
      <c r="AX4" s="24">
        <v>4977</v>
      </c>
      <c r="AY4" s="24">
        <v>18</v>
      </c>
      <c r="AZ4" s="24">
        <v>30204</v>
      </c>
      <c r="BA4" s="24">
        <v>34896</v>
      </c>
      <c r="BB4" s="24">
        <v>34838</v>
      </c>
      <c r="BC4" s="24">
        <v>7778</v>
      </c>
      <c r="BD4" s="24">
        <v>842</v>
      </c>
      <c r="BE4" s="24">
        <v>191</v>
      </c>
      <c r="BF4" s="24">
        <v>1923</v>
      </c>
      <c r="BG4" s="24">
        <v>1025</v>
      </c>
      <c r="BH4" s="24">
        <v>6386</v>
      </c>
      <c r="BI4" s="24">
        <v>18</v>
      </c>
      <c r="BJ4" s="24">
        <v>6920</v>
      </c>
      <c r="BK4" s="24">
        <v>81212</v>
      </c>
      <c r="BL4" s="24">
        <v>4682</v>
      </c>
      <c r="BM4" s="24">
        <v>66</v>
      </c>
      <c r="BN4" s="24">
        <v>922</v>
      </c>
      <c r="BO4" s="24">
        <v>190314</v>
      </c>
      <c r="BP4" s="24">
        <v>29801</v>
      </c>
      <c r="BQ4" s="24">
        <v>1374</v>
      </c>
      <c r="BR4" s="24">
        <v>13</v>
      </c>
      <c r="BS4" s="24">
        <v>23</v>
      </c>
      <c r="BT4" s="24">
        <v>32455</v>
      </c>
      <c r="BU4" s="24">
        <v>6257</v>
      </c>
      <c r="BV4" s="24">
        <v>803</v>
      </c>
      <c r="BW4" s="24">
        <v>181</v>
      </c>
      <c r="BX4" s="24">
        <v>4365</v>
      </c>
      <c r="BY4" s="24">
        <v>12</v>
      </c>
      <c r="BZ4" s="24">
        <v>5039</v>
      </c>
      <c r="CA4" s="24">
        <v>3329</v>
      </c>
      <c r="CB4" s="24">
        <v>1823</v>
      </c>
      <c r="CC4" s="24">
        <v>951166</v>
      </c>
      <c r="CD4" s="24">
        <v>58173</v>
      </c>
      <c r="CE4" s="24">
        <v>255144</v>
      </c>
      <c r="CF4" s="24">
        <v>77144</v>
      </c>
      <c r="CG4" s="24">
        <v>23364</v>
      </c>
      <c r="CH4" s="24">
        <v>27133</v>
      </c>
      <c r="CI4" s="24">
        <v>198593</v>
      </c>
      <c r="CJ4" s="24">
        <v>714</v>
      </c>
      <c r="CK4" s="24">
        <v>21970</v>
      </c>
      <c r="CL4" s="24">
        <v>1041</v>
      </c>
      <c r="CM4" s="24">
        <v>54404</v>
      </c>
      <c r="CN4" s="24">
        <v>7833</v>
      </c>
      <c r="CO4" s="24">
        <v>4027</v>
      </c>
      <c r="CP4" s="24">
        <v>55057</v>
      </c>
      <c r="CQ4" s="24">
        <v>21205</v>
      </c>
      <c r="CR4" s="24">
        <v>19</v>
      </c>
      <c r="CS4" s="24">
        <v>1045</v>
      </c>
      <c r="CT4" s="24">
        <v>1709</v>
      </c>
      <c r="CU4" s="24">
        <v>128</v>
      </c>
      <c r="CV4" s="24">
        <v>646</v>
      </c>
      <c r="CW4" s="24">
        <v>577</v>
      </c>
      <c r="CX4" s="24">
        <v>81</v>
      </c>
      <c r="CY4" s="24">
        <v>1620</v>
      </c>
      <c r="CZ4" s="24">
        <v>4825</v>
      </c>
      <c r="DA4" s="24">
        <v>6260</v>
      </c>
      <c r="DB4" s="24">
        <v>1645</v>
      </c>
      <c r="DC4" s="24">
        <v>8601</v>
      </c>
      <c r="DD4" s="24">
        <v>2547</v>
      </c>
      <c r="DE4" s="24">
        <v>1913</v>
      </c>
      <c r="DF4" s="24">
        <v>665</v>
      </c>
      <c r="DG4" s="24">
        <v>4653</v>
      </c>
      <c r="DH4" s="24">
        <v>332</v>
      </c>
      <c r="DI4" s="24">
        <v>303810</v>
      </c>
      <c r="DJ4" s="24">
        <v>16154</v>
      </c>
      <c r="DK4" s="24">
        <v>104</v>
      </c>
      <c r="DL4" s="24">
        <v>222</v>
      </c>
      <c r="DM4" s="24">
        <v>809</v>
      </c>
      <c r="DN4" s="24">
        <v>16553</v>
      </c>
      <c r="DO4" s="24">
        <v>0</v>
      </c>
      <c r="DP4" s="24">
        <v>101</v>
      </c>
      <c r="DQ4" s="24">
        <v>13754</v>
      </c>
      <c r="DR4" s="24">
        <v>189</v>
      </c>
      <c r="DS4" s="24">
        <v>1514</v>
      </c>
      <c r="DT4" s="24">
        <v>2492</v>
      </c>
      <c r="DU4" s="24">
        <v>1027</v>
      </c>
      <c r="DV4" s="24">
        <v>18203</v>
      </c>
      <c r="DW4" s="24">
        <v>5564</v>
      </c>
      <c r="DX4" s="24">
        <v>8752</v>
      </c>
      <c r="DY4" s="24">
        <v>57028</v>
      </c>
      <c r="DZ4" s="24">
        <v>241026</v>
      </c>
      <c r="EA4" s="24">
        <v>35086</v>
      </c>
      <c r="EB4" s="24">
        <v>11</v>
      </c>
      <c r="EC4" s="24">
        <v>2905</v>
      </c>
      <c r="ED4" s="24">
        <v>272547</v>
      </c>
      <c r="EE4" s="24">
        <v>26446</v>
      </c>
      <c r="EF4" s="24">
        <v>32856</v>
      </c>
      <c r="EG4" s="24">
        <v>35375</v>
      </c>
      <c r="EH4" s="24">
        <v>106328</v>
      </c>
      <c r="EI4" s="24">
        <v>25794</v>
      </c>
      <c r="EJ4" s="24">
        <v>602249</v>
      </c>
      <c r="EK4" s="24">
        <v>975</v>
      </c>
      <c r="EL4" s="24">
        <v>15</v>
      </c>
      <c r="EM4" s="24">
        <v>22</v>
      </c>
      <c r="EN4" s="24">
        <v>39</v>
      </c>
      <c r="EO4" s="24">
        <v>657</v>
      </c>
      <c r="EP4" s="24">
        <v>734</v>
      </c>
      <c r="EQ4" s="24">
        <v>222936</v>
      </c>
      <c r="ER4" s="24">
        <v>6477</v>
      </c>
      <c r="ES4" s="24">
        <v>0</v>
      </c>
      <c r="ET4" s="24">
        <v>39</v>
      </c>
      <c r="EU4" s="24">
        <v>1317</v>
      </c>
      <c r="EV4" s="24">
        <v>45692</v>
      </c>
      <c r="EW4" s="24">
        <v>1616</v>
      </c>
      <c r="EX4" s="24">
        <v>1733</v>
      </c>
      <c r="EY4" s="24">
        <v>1543</v>
      </c>
      <c r="EZ4" s="24">
        <v>274925</v>
      </c>
      <c r="FA4" s="24">
        <v>13007</v>
      </c>
      <c r="FB4" s="24">
        <v>1175</v>
      </c>
      <c r="FC4" s="24">
        <v>150376</v>
      </c>
      <c r="FD4" s="24">
        <v>2121</v>
      </c>
      <c r="FE4" s="24">
        <v>5939</v>
      </c>
      <c r="FF4" s="24">
        <v>925</v>
      </c>
      <c r="FG4" s="24">
        <v>0</v>
      </c>
      <c r="FH4" s="24">
        <v>30900</v>
      </c>
      <c r="FI4" s="24">
        <v>0</v>
      </c>
      <c r="FJ4" s="24">
        <v>440</v>
      </c>
      <c r="FK4" s="24">
        <v>6028</v>
      </c>
      <c r="FL4" s="24">
        <v>183</v>
      </c>
      <c r="FM4" s="24">
        <v>3111</v>
      </c>
      <c r="FN4" s="24">
        <v>0</v>
      </c>
      <c r="FO4" s="24">
        <v>607</v>
      </c>
      <c r="FP4" s="24">
        <v>128</v>
      </c>
      <c r="FQ4" s="24">
        <v>1157</v>
      </c>
      <c r="FR4" s="24">
        <v>210469</v>
      </c>
      <c r="FS4" s="24">
        <v>1325804</v>
      </c>
      <c r="FT4" s="24">
        <v>986</v>
      </c>
      <c r="FU4" s="24">
        <v>37202</v>
      </c>
      <c r="FV4" s="24">
        <v>52510</v>
      </c>
      <c r="FW4" s="24">
        <v>1437</v>
      </c>
      <c r="FX4" s="24">
        <v>951</v>
      </c>
      <c r="FY4" s="24">
        <v>11674</v>
      </c>
      <c r="FZ4" s="24">
        <v>9959</v>
      </c>
      <c r="GA4" s="24">
        <v>365</v>
      </c>
      <c r="GB4" s="24">
        <v>3752</v>
      </c>
      <c r="GC4" s="24">
        <v>8</v>
      </c>
      <c r="GD4" s="24">
        <v>833</v>
      </c>
      <c r="GE4" s="24">
        <v>2815</v>
      </c>
      <c r="GF4" s="24">
        <v>542</v>
      </c>
    </row>
    <row r="5" spans="1:188" x14ac:dyDescent="0.25">
      <c r="A5" s="24" t="str">
        <v>Active</v>
      </c>
      <c r="B5" s="24">
        <v>9796</v>
      </c>
      <c r="C5" s="24">
        <v>1991</v>
      </c>
      <c r="D5" s="24">
        <v>7973</v>
      </c>
      <c r="E5" s="24">
        <v>52</v>
      </c>
      <c r="F5" s="24">
        <v>667</v>
      </c>
      <c r="G5" s="24">
        <v>18</v>
      </c>
      <c r="H5" s="24">
        <v>91782</v>
      </c>
      <c r="I5" s="24">
        <v>10014</v>
      </c>
      <c r="J5" s="24">
        <v>5825</v>
      </c>
      <c r="K5" s="24">
        <v>1599</v>
      </c>
      <c r="L5" s="24">
        <v>6781</v>
      </c>
      <c r="M5" s="24">
        <v>280</v>
      </c>
      <c r="N5" s="24">
        <v>3231</v>
      </c>
      <c r="O5" s="24">
        <v>97577</v>
      </c>
      <c r="P5" s="24">
        <v>9</v>
      </c>
      <c r="Q5" s="24">
        <v>6221</v>
      </c>
      <c r="R5" s="24">
        <v>39154</v>
      </c>
      <c r="S5" s="24">
        <v>20</v>
      </c>
      <c r="T5" s="24">
        <v>699</v>
      </c>
      <c r="U5" s="24">
        <v>13</v>
      </c>
      <c r="V5" s="24">
        <v>47056</v>
      </c>
      <c r="W5" s="24">
        <v>5274</v>
      </c>
      <c r="X5" s="24">
        <v>674</v>
      </c>
      <c r="Y5" s="24">
        <v>508116</v>
      </c>
      <c r="Z5" s="24">
        <v>0</v>
      </c>
      <c r="AA5" s="24">
        <v>4689</v>
      </c>
      <c r="AB5" s="24">
        <v>121</v>
      </c>
      <c r="AC5" s="24">
        <v>52</v>
      </c>
      <c r="AD5" s="24">
        <v>76</v>
      </c>
      <c r="AE5" s="24">
        <v>756</v>
      </c>
      <c r="AF5" s="24">
        <v>79</v>
      </c>
      <c r="AG5" s="24">
        <v>2180</v>
      </c>
      <c r="AH5" s="24">
        <v>107514</v>
      </c>
      <c r="AI5" s="24">
        <v>2994</v>
      </c>
      <c r="AJ5" s="24">
        <v>37</v>
      </c>
      <c r="AK5" s="24">
        <v>18782</v>
      </c>
      <c r="AL5" s="24">
        <v>3258</v>
      </c>
      <c r="AM5" s="24">
        <v>117163</v>
      </c>
      <c r="AN5" s="24">
        <v>19</v>
      </c>
      <c r="AO5" s="24">
        <v>2317</v>
      </c>
      <c r="AP5" s="24">
        <v>2936</v>
      </c>
      <c r="AQ5" s="24">
        <v>11902</v>
      </c>
      <c r="AR5" s="24">
        <v>5198</v>
      </c>
      <c r="AS5" s="24">
        <v>806</v>
      </c>
      <c r="AT5" s="24">
        <v>94</v>
      </c>
      <c r="AU5" s="24">
        <v>189</v>
      </c>
      <c r="AV5" s="24">
        <v>3715</v>
      </c>
      <c r="AW5" s="24">
        <v>543</v>
      </c>
      <c r="AX5" s="24">
        <v>24</v>
      </c>
      <c r="AY5" s="24">
        <v>0</v>
      </c>
      <c r="AZ5" s="24">
        <v>32869</v>
      </c>
      <c r="BA5" s="24">
        <v>40733</v>
      </c>
      <c r="BB5" s="24">
        <v>52992</v>
      </c>
      <c r="BC5" s="24">
        <v>6849</v>
      </c>
      <c r="BD5" s="24">
        <v>2178</v>
      </c>
      <c r="BE5" s="24">
        <v>74</v>
      </c>
      <c r="BF5" s="24">
        <v>42</v>
      </c>
      <c r="BG5" s="24">
        <v>1257</v>
      </c>
      <c r="BH5" s="24">
        <v>7933</v>
      </c>
      <c r="BI5" s="24">
        <v>9</v>
      </c>
      <c r="BJ5" s="24">
        <v>149</v>
      </c>
      <c r="BK5" s="24">
        <v>108928</v>
      </c>
      <c r="BL5" s="24">
        <v>2458</v>
      </c>
      <c r="BM5" s="24">
        <v>252</v>
      </c>
      <c r="BN5" s="24">
        <v>199</v>
      </c>
      <c r="BO5" s="24">
        <v>7673</v>
      </c>
      <c r="BP5" s="24">
        <v>3655</v>
      </c>
      <c r="BQ5" s="24">
        <v>2651</v>
      </c>
      <c r="BR5" s="24">
        <v>1</v>
      </c>
      <c r="BS5" s="24">
        <v>0</v>
      </c>
      <c r="BT5" s="24">
        <v>11093</v>
      </c>
      <c r="BU5" s="24">
        <v>753</v>
      </c>
      <c r="BV5" s="24">
        <v>1125</v>
      </c>
      <c r="BW5" s="24">
        <v>188</v>
      </c>
      <c r="BX5" s="24">
        <v>2817</v>
      </c>
      <c r="BY5" s="24">
        <v>0</v>
      </c>
      <c r="BZ5" s="24">
        <v>33536</v>
      </c>
      <c r="CA5" s="24">
        <v>523</v>
      </c>
      <c r="CB5" s="24">
        <v>21</v>
      </c>
      <c r="CC5" s="24">
        <v>495499</v>
      </c>
      <c r="CD5" s="24">
        <v>37292</v>
      </c>
      <c r="CE5" s="24">
        <v>22550</v>
      </c>
      <c r="CF5" s="24">
        <v>30983</v>
      </c>
      <c r="CG5" s="24">
        <v>764</v>
      </c>
      <c r="CH5" s="24">
        <v>36378</v>
      </c>
      <c r="CI5" s="24">
        <v>12581</v>
      </c>
      <c r="CJ5" s="24">
        <v>129</v>
      </c>
      <c r="CK5" s="24">
        <v>8174</v>
      </c>
      <c r="CL5" s="24">
        <v>124</v>
      </c>
      <c r="CM5" s="24">
        <v>29659</v>
      </c>
      <c r="CN5" s="24">
        <v>9857</v>
      </c>
      <c r="CO5" s="24">
        <v>3201</v>
      </c>
      <c r="CP5" s="24">
        <v>8884</v>
      </c>
      <c r="CQ5" s="24">
        <v>10790</v>
      </c>
      <c r="CR5" s="24">
        <v>1</v>
      </c>
      <c r="CS5" s="24">
        <v>143</v>
      </c>
      <c r="CT5" s="24">
        <v>2122</v>
      </c>
      <c r="CU5" s="24">
        <v>365</v>
      </c>
      <c r="CV5" s="24">
        <v>449</v>
      </c>
      <c r="CW5" s="24">
        <v>2186</v>
      </c>
      <c r="CX5" s="24">
        <v>4</v>
      </c>
      <c r="CY5" s="24">
        <v>319</v>
      </c>
      <c r="CZ5" s="24">
        <v>1384</v>
      </c>
      <c r="DA5" s="24">
        <v>3339</v>
      </c>
      <c r="DB5" s="24">
        <v>1920</v>
      </c>
      <c r="DC5" s="24">
        <v>179</v>
      </c>
      <c r="DD5" s="24">
        <v>807</v>
      </c>
      <c r="DE5" s="24">
        <v>476</v>
      </c>
      <c r="DF5" s="24">
        <v>27</v>
      </c>
      <c r="DG5" s="24">
        <v>1399</v>
      </c>
      <c r="DH5" s="24">
        <v>2</v>
      </c>
      <c r="DI5" s="24">
        <v>47657</v>
      </c>
      <c r="DJ5" s="24">
        <v>6252</v>
      </c>
      <c r="DK5" s="24">
        <v>8</v>
      </c>
      <c r="DL5" s="24">
        <v>67</v>
      </c>
      <c r="DM5" s="24">
        <v>2039</v>
      </c>
      <c r="DN5" s="24">
        <v>4018</v>
      </c>
      <c r="DO5" s="24">
        <v>1690</v>
      </c>
      <c r="DP5" s="24">
        <v>1734</v>
      </c>
      <c r="DQ5" s="24">
        <v>4950</v>
      </c>
      <c r="DR5" s="24">
        <v>47064</v>
      </c>
      <c r="DS5" s="24">
        <v>21</v>
      </c>
      <c r="DT5" s="24">
        <v>839</v>
      </c>
      <c r="DU5" s="24">
        <v>36</v>
      </c>
      <c r="DV5" s="24">
        <v>22117</v>
      </c>
      <c r="DW5" s="24">
        <v>4183</v>
      </c>
      <c r="DX5" s="24">
        <v>125</v>
      </c>
      <c r="DY5" s="24">
        <v>19637</v>
      </c>
      <c r="DZ5" s="24">
        <v>27421</v>
      </c>
      <c r="EA5" s="24">
        <v>25034</v>
      </c>
      <c r="EB5" s="24">
        <v>51</v>
      </c>
      <c r="EC5" s="24">
        <v>1600</v>
      </c>
      <c r="ED5" s="24">
        <v>98752</v>
      </c>
      <c r="EE5" s="24">
        <v>53649</v>
      </c>
      <c r="EF5" s="24">
        <v>8870</v>
      </c>
      <c r="EG5" s="24">
        <v>13205</v>
      </c>
      <c r="EH5" s="24">
        <v>3104</v>
      </c>
      <c r="EI5" s="24">
        <v>17902</v>
      </c>
      <c r="EJ5" s="24">
        <v>201097</v>
      </c>
      <c r="EK5" s="24">
        <v>899</v>
      </c>
      <c r="EL5" s="24">
        <v>2</v>
      </c>
      <c r="EM5" s="24">
        <v>2</v>
      </c>
      <c r="EN5" s="24">
        <v>13</v>
      </c>
      <c r="EO5" s="24">
        <v>0</v>
      </c>
      <c r="EP5" s="24">
        <v>117</v>
      </c>
      <c r="EQ5" s="24">
        <v>43238</v>
      </c>
      <c r="ER5" s="24">
        <v>3093</v>
      </c>
      <c r="ES5" s="24">
        <v>23598</v>
      </c>
      <c r="ET5" s="24">
        <v>75</v>
      </c>
      <c r="EU5" s="24">
        <v>400</v>
      </c>
      <c r="EV5" s="24">
        <v>5119</v>
      </c>
      <c r="EW5" s="24">
        <v>537</v>
      </c>
      <c r="EX5" s="24">
        <v>238</v>
      </c>
      <c r="EY5" s="24">
        <v>1560</v>
      </c>
      <c r="EZ5" s="24">
        <v>170537</v>
      </c>
      <c r="FA5" s="24">
        <v>896</v>
      </c>
      <c r="FB5" s="24">
        <v>1084</v>
      </c>
      <c r="FC5" s="24">
        <v>93613</v>
      </c>
      <c r="FD5" s="24">
        <v>673</v>
      </c>
      <c r="FE5" s="24">
        <v>4765</v>
      </c>
      <c r="FF5" s="24">
        <v>534</v>
      </c>
      <c r="FG5" s="24">
        <v>73695</v>
      </c>
      <c r="FH5" s="24">
        <v>1599</v>
      </c>
      <c r="FI5" s="24">
        <v>634</v>
      </c>
      <c r="FJ5" s="24">
        <v>15</v>
      </c>
      <c r="FK5" s="24">
        <v>1147</v>
      </c>
      <c r="FL5" s="24">
        <v>305</v>
      </c>
      <c r="FM5" s="24">
        <v>128</v>
      </c>
      <c r="FN5" s="24">
        <v>24</v>
      </c>
      <c r="FO5" s="24">
        <v>249</v>
      </c>
      <c r="FP5" s="24">
        <v>12</v>
      </c>
      <c r="FQ5" s="24">
        <v>248</v>
      </c>
      <c r="FR5" s="24">
        <v>10920</v>
      </c>
      <c r="FS5" s="24">
        <v>2816444</v>
      </c>
      <c r="FT5" s="24">
        <v>140</v>
      </c>
      <c r="FU5" s="24">
        <v>28258</v>
      </c>
      <c r="FV5" s="24">
        <v>6322</v>
      </c>
      <c r="FW5" s="24">
        <v>254427</v>
      </c>
      <c r="FX5" s="24">
        <v>216</v>
      </c>
      <c r="FY5" s="24">
        <v>9414</v>
      </c>
      <c r="FZ5" s="24">
        <v>5883</v>
      </c>
      <c r="GA5" s="24">
        <v>66</v>
      </c>
      <c r="GB5" s="24">
        <v>6791</v>
      </c>
      <c r="GC5" s="24">
        <v>1</v>
      </c>
      <c r="GD5" s="24">
        <v>375</v>
      </c>
      <c r="GE5" s="24">
        <v>1597</v>
      </c>
      <c r="GF5" s="24">
        <v>2126</v>
      </c>
    </row>
    <row r="6" spans="1:188" x14ac:dyDescent="0.25">
      <c r="A6" s="24" t="str">
        <v>Population</v>
      </c>
      <c r="B6" s="24">
        <v>39009447</v>
      </c>
      <c r="C6" s="24">
        <v>2877470</v>
      </c>
      <c r="D6" s="24">
        <v>43926079</v>
      </c>
      <c r="E6" s="24">
        <v>77278</v>
      </c>
      <c r="F6" s="24">
        <v>32956300</v>
      </c>
      <c r="G6" s="24">
        <v>98010</v>
      </c>
      <c r="H6" s="24">
        <v>45236884</v>
      </c>
      <c r="I6" s="24">
        <v>2963811</v>
      </c>
      <c r="J6" s="24">
        <v>25528864</v>
      </c>
      <c r="K6" s="24">
        <v>9011577</v>
      </c>
      <c r="L6" s="24">
        <v>10148243</v>
      </c>
      <c r="M6" s="24">
        <v>393616</v>
      </c>
      <c r="N6" s="24">
        <v>1706669</v>
      </c>
      <c r="O6" s="24">
        <v>164851401</v>
      </c>
      <c r="P6" s="24">
        <v>287411</v>
      </c>
      <c r="Q6" s="24">
        <v>9449001</v>
      </c>
      <c r="R6" s="24">
        <v>11594739</v>
      </c>
      <c r="S6" s="24">
        <v>398312</v>
      </c>
      <c r="T6" s="24">
        <v>12151976</v>
      </c>
      <c r="U6" s="24">
        <v>772443</v>
      </c>
      <c r="V6" s="24">
        <v>11688459</v>
      </c>
      <c r="W6" s="24">
        <v>3278650</v>
      </c>
      <c r="X6" s="24">
        <v>2356075</v>
      </c>
      <c r="Y6" s="24">
        <v>212710692</v>
      </c>
      <c r="Z6" s="24">
        <v>437893</v>
      </c>
      <c r="AA6" s="24">
        <v>6942854</v>
      </c>
      <c r="AB6" s="24">
        <v>20954852</v>
      </c>
      <c r="AC6" s="24">
        <v>54446389</v>
      </c>
      <c r="AD6" s="24">
        <v>11922216</v>
      </c>
      <c r="AE6" s="24">
        <v>556581</v>
      </c>
      <c r="AF6" s="24">
        <v>16741375</v>
      </c>
      <c r="AG6" s="24">
        <v>26606188</v>
      </c>
      <c r="AH6" s="24">
        <v>37775022</v>
      </c>
      <c r="AI6" s="24">
        <v>4837752</v>
      </c>
      <c r="AJ6" s="24">
        <v>17224679</v>
      </c>
      <c r="AK6" s="24">
        <v>19132514</v>
      </c>
      <c r="AL6" s="24">
        <v>1411778724</v>
      </c>
      <c r="AM6" s="24">
        <v>50936262</v>
      </c>
      <c r="AN6" s="24">
        <v>871326</v>
      </c>
      <c r="AO6" s="24">
        <v>5530506</v>
      </c>
      <c r="AP6" s="24">
        <v>96076573</v>
      </c>
      <c r="AQ6" s="24">
        <v>5098730</v>
      </c>
      <c r="AR6" s="24">
        <v>26172000</v>
      </c>
      <c r="AS6" s="24">
        <v>4102577</v>
      </c>
      <c r="AT6" s="24">
        <v>11325899</v>
      </c>
      <c r="AU6" s="24">
        <v>1208238</v>
      </c>
      <c r="AV6" s="24">
        <v>10711019</v>
      </c>
      <c r="AW6" s="24">
        <v>5794279</v>
      </c>
      <c r="AX6" s="24">
        <v>989387</v>
      </c>
      <c r="AY6" s="24">
        <v>72004</v>
      </c>
      <c r="AZ6" s="24">
        <v>10858648</v>
      </c>
      <c r="BA6" s="24">
        <v>17668824</v>
      </c>
      <c r="BB6" s="24">
        <v>102516525</v>
      </c>
      <c r="BC6" s="24">
        <v>6489514</v>
      </c>
      <c r="BD6" s="24">
        <v>1407001</v>
      </c>
      <c r="BE6" s="24">
        <v>3551175</v>
      </c>
      <c r="BF6" s="24">
        <v>1326627</v>
      </c>
      <c r="BG6" s="24">
        <v>1161348</v>
      </c>
      <c r="BH6" s="24">
        <v>115223736</v>
      </c>
      <c r="BI6" s="24">
        <v>897095</v>
      </c>
      <c r="BJ6" s="24">
        <v>5541604</v>
      </c>
      <c r="BK6" s="24">
        <v>65288306</v>
      </c>
      <c r="BL6" s="24">
        <v>2230563</v>
      </c>
      <c r="BM6" s="24">
        <v>2422754</v>
      </c>
      <c r="BN6" s="24">
        <v>3988368</v>
      </c>
      <c r="BO6" s="24">
        <v>83811260</v>
      </c>
      <c r="BP6" s="24">
        <v>31133483</v>
      </c>
      <c r="BQ6" s="24">
        <v>10417673</v>
      </c>
      <c r="BR6" s="24">
        <v>56780</v>
      </c>
      <c r="BS6" s="24">
        <v>112576</v>
      </c>
      <c r="BT6" s="24">
        <v>17946899</v>
      </c>
      <c r="BU6" s="24">
        <v>13164905</v>
      </c>
      <c r="BV6" s="24">
        <v>1972277</v>
      </c>
      <c r="BW6" s="24">
        <v>786936</v>
      </c>
      <c r="BX6" s="24">
        <v>11416103</v>
      </c>
      <c r="BY6" s="24">
        <v>528</v>
      </c>
      <c r="BZ6" s="24">
        <v>10012084</v>
      </c>
      <c r="CA6" s="24">
        <v>9657785</v>
      </c>
      <c r="CB6" s="24">
        <v>341465</v>
      </c>
      <c r="CC6" s="24">
        <v>1381344997</v>
      </c>
      <c r="CD6" s="24">
        <v>273808365</v>
      </c>
      <c r="CE6" s="24">
        <v>84097623</v>
      </c>
      <c r="CF6" s="24">
        <v>40306025</v>
      </c>
      <c r="CG6" s="24">
        <v>4943200</v>
      </c>
      <c r="CH6" s="24">
        <v>9197590</v>
      </c>
      <c r="CI6" s="24">
        <v>60452568</v>
      </c>
      <c r="CJ6" s="24">
        <v>2962478</v>
      </c>
      <c r="CK6" s="24">
        <v>126435859</v>
      </c>
      <c r="CL6" s="24">
        <v>10213138</v>
      </c>
      <c r="CM6" s="24">
        <v>18798667</v>
      </c>
      <c r="CN6" s="24">
        <v>53881160</v>
      </c>
      <c r="CO6" s="24">
        <v>1790152</v>
      </c>
      <c r="CP6" s="24">
        <v>4276658</v>
      </c>
      <c r="CQ6" s="24">
        <v>6534479</v>
      </c>
      <c r="CR6" s="24">
        <v>7285750</v>
      </c>
      <c r="CS6" s="24">
        <v>1883936</v>
      </c>
      <c r="CT6" s="24">
        <v>6822220</v>
      </c>
      <c r="CU6" s="24">
        <v>2143943</v>
      </c>
      <c r="CV6" s="24">
        <v>5068618</v>
      </c>
      <c r="CW6" s="24">
        <v>6880353</v>
      </c>
      <c r="CX6" s="24">
        <v>38139</v>
      </c>
      <c r="CY6" s="24">
        <v>2718121</v>
      </c>
      <c r="CZ6" s="24">
        <v>626952</v>
      </c>
      <c r="DA6" s="24">
        <v>27755708</v>
      </c>
      <c r="DB6" s="24">
        <v>19174839</v>
      </c>
      <c r="DC6" s="24">
        <v>32406372</v>
      </c>
      <c r="DD6" s="24">
        <v>541448</v>
      </c>
      <c r="DE6" s="24">
        <v>20302901</v>
      </c>
      <c r="DF6" s="24">
        <v>441663</v>
      </c>
      <c r="DG6" s="24">
        <v>4660728</v>
      </c>
      <c r="DH6" s="24">
        <v>1271985</v>
      </c>
      <c r="DI6" s="24">
        <v>129066160</v>
      </c>
      <c r="DJ6" s="24">
        <v>4032983</v>
      </c>
      <c r="DK6" s="24">
        <v>39270</v>
      </c>
      <c r="DL6" s="24">
        <v>3283344</v>
      </c>
      <c r="DM6" s="24">
        <v>628074</v>
      </c>
      <c r="DN6" s="24">
        <v>36953359</v>
      </c>
      <c r="DO6" s="24">
        <v>31333962</v>
      </c>
      <c r="DP6" s="24">
        <v>2545264</v>
      </c>
      <c r="DQ6" s="24">
        <v>29186486</v>
      </c>
      <c r="DR6" s="24">
        <v>17138756</v>
      </c>
      <c r="DS6" s="24">
        <v>5002100</v>
      </c>
      <c r="DT6" s="24">
        <v>6632263</v>
      </c>
      <c r="DU6" s="24">
        <v>24281433</v>
      </c>
      <c r="DV6" s="24">
        <v>206606300</v>
      </c>
      <c r="DW6" s="24">
        <v>2083365</v>
      </c>
      <c r="DX6" s="24">
        <v>5425471</v>
      </c>
      <c r="DY6" s="24">
        <v>5118446</v>
      </c>
      <c r="DZ6" s="24">
        <v>221295851</v>
      </c>
      <c r="EA6" s="24">
        <v>5112340</v>
      </c>
      <c r="EB6" s="24">
        <v>8963009</v>
      </c>
      <c r="EC6" s="24">
        <v>7141091</v>
      </c>
      <c r="ED6" s="24">
        <v>33016319</v>
      </c>
      <c r="EE6" s="24">
        <v>109722719</v>
      </c>
      <c r="EF6" s="24">
        <v>37842302</v>
      </c>
      <c r="EG6" s="24">
        <v>10193593</v>
      </c>
      <c r="EH6" s="24">
        <v>2807805</v>
      </c>
      <c r="EI6" s="24">
        <v>19224023</v>
      </c>
      <c r="EJ6" s="24">
        <v>145940924</v>
      </c>
      <c r="EK6" s="24">
        <v>12981546</v>
      </c>
      <c r="EL6" s="24">
        <v>53237</v>
      </c>
      <c r="EM6" s="24">
        <v>183712</v>
      </c>
      <c r="EN6" s="24">
        <v>104000</v>
      </c>
      <c r="EO6" s="24">
        <v>33938</v>
      </c>
      <c r="EP6" s="24">
        <v>219544</v>
      </c>
      <c r="EQ6" s="24">
        <v>34865919</v>
      </c>
      <c r="ER6" s="24">
        <v>16783877</v>
      </c>
      <c r="ES6" s="24">
        <v>8733665</v>
      </c>
      <c r="ET6" s="24">
        <v>98408</v>
      </c>
      <c r="EU6" s="24">
        <v>7992169</v>
      </c>
      <c r="EV6" s="24">
        <v>5854932</v>
      </c>
      <c r="EW6" s="24">
        <v>5459915</v>
      </c>
      <c r="EX6" s="24">
        <v>2078968</v>
      </c>
      <c r="EY6" s="24">
        <v>15933012</v>
      </c>
      <c r="EZ6" s="24">
        <v>59381566</v>
      </c>
      <c r="FA6" s="24">
        <v>51273732</v>
      </c>
      <c r="FB6" s="24">
        <v>11206572</v>
      </c>
      <c r="FC6" s="24">
        <v>46756648</v>
      </c>
      <c r="FD6" s="24">
        <v>21422362</v>
      </c>
      <c r="FE6" s="24">
        <v>43943536</v>
      </c>
      <c r="FF6" s="24">
        <v>587154</v>
      </c>
      <c r="FG6" s="24">
        <v>10105596</v>
      </c>
      <c r="FH6" s="24">
        <v>8660952</v>
      </c>
      <c r="FI6" s="24">
        <v>17539600</v>
      </c>
      <c r="FJ6" s="24">
        <v>23821199</v>
      </c>
      <c r="FK6" s="24">
        <v>9557468</v>
      </c>
      <c r="FL6" s="24">
        <v>59886383</v>
      </c>
      <c r="FM6" s="24">
        <v>69817894</v>
      </c>
      <c r="FN6" s="24">
        <v>1320812</v>
      </c>
      <c r="FO6" s="24">
        <v>8296582</v>
      </c>
      <c r="FP6" s="24">
        <v>1399950</v>
      </c>
      <c r="FQ6" s="24">
        <v>11830801</v>
      </c>
      <c r="FR6" s="24">
        <v>84428331</v>
      </c>
      <c r="FS6" s="24">
        <v>331198130</v>
      </c>
      <c r="FT6" s="24">
        <v>45867852</v>
      </c>
      <c r="FU6" s="24">
        <v>43705858</v>
      </c>
      <c r="FV6" s="24">
        <v>9902079</v>
      </c>
      <c r="FW6" s="24">
        <v>67922029</v>
      </c>
      <c r="FX6" s="24">
        <v>3474956</v>
      </c>
      <c r="FY6" s="24">
        <v>33516027</v>
      </c>
      <c r="FZ6" s="24">
        <v>28427499</v>
      </c>
      <c r="GA6" s="24">
        <v>97425470</v>
      </c>
      <c r="GB6" s="24">
        <v>4800000</v>
      </c>
      <c r="GC6" s="24">
        <v>598682</v>
      </c>
      <c r="GD6" s="24">
        <v>29886897</v>
      </c>
      <c r="GE6" s="24">
        <v>18430129</v>
      </c>
      <c r="GF6" s="24">
        <v>14883803</v>
      </c>
    </row>
    <row r="7" spans="1:188" x14ac:dyDescent="0.25">
      <c r="A7" s="24" t="str">
        <v>Continent</v>
      </c>
      <c r="B7" s="24" t="str">
        <v>Asia</v>
      </c>
      <c r="C7" s="24" t="str">
        <v>Europe</v>
      </c>
      <c r="D7" s="24" t="str">
        <v>Africa</v>
      </c>
      <c r="E7" s="24" t="str">
        <v>Europe</v>
      </c>
      <c r="F7" s="24" t="str">
        <v>Africa</v>
      </c>
      <c r="G7" s="24" t="str">
        <v>North America</v>
      </c>
      <c r="H7" s="24" t="str">
        <v>South America</v>
      </c>
      <c r="I7" s="24" t="str">
        <v>Asia</v>
      </c>
      <c r="J7" s="24" t="str">
        <v>Australia/Oceania</v>
      </c>
      <c r="K7" s="24" t="str">
        <v>Europe</v>
      </c>
      <c r="L7" s="24" t="str">
        <v>Asia</v>
      </c>
      <c r="M7" s="24" t="str">
        <v>North America</v>
      </c>
      <c r="N7" s="24" t="str">
        <v>Asia</v>
      </c>
      <c r="O7" s="24" t="str">
        <v>Asia</v>
      </c>
      <c r="P7" s="24" t="str">
        <v>North America</v>
      </c>
      <c r="Q7" s="24" t="str">
        <v>Europe</v>
      </c>
      <c r="R7" s="24" t="str">
        <v>Europe</v>
      </c>
      <c r="S7" s="24" t="str">
        <v>North America</v>
      </c>
      <c r="T7" s="24" t="str">
        <v>Africa</v>
      </c>
      <c r="U7" s="24" t="str">
        <v>Asia</v>
      </c>
      <c r="V7" s="24" t="str">
        <v>South America</v>
      </c>
      <c r="W7" s="24" t="str">
        <v>Europe</v>
      </c>
      <c r="X7" s="24" t="str">
        <v>Africa</v>
      </c>
      <c r="Y7" s="24" t="str">
        <v>South America</v>
      </c>
      <c r="Z7" s="24" t="str">
        <v>Asia</v>
      </c>
      <c r="AA7" s="24" t="str">
        <v>Europe</v>
      </c>
      <c r="AB7" s="24" t="str">
        <v>Africa</v>
      </c>
      <c r="AC7" s="24" t="str">
        <v>Asia</v>
      </c>
      <c r="AD7" s="24" t="str">
        <v>Africa</v>
      </c>
      <c r="AE7" s="24" t="str">
        <v>Africa</v>
      </c>
      <c r="AF7" s="24" t="str">
        <v>Asia</v>
      </c>
      <c r="AG7" s="24" t="str">
        <v>Africa</v>
      </c>
      <c r="AH7" s="24" t="str">
        <v>North America</v>
      </c>
      <c r="AI7" s="24" t="str">
        <v>Africa</v>
      </c>
      <c r="AJ7" s="24" t="str">
        <v>Africa</v>
      </c>
      <c r="AK7" s="24" t="str">
        <v>South America</v>
      </c>
      <c r="AL7" s="24" t="str">
        <v>Africa</v>
      </c>
      <c r="AM7" s="24" t="str">
        <v>South America</v>
      </c>
      <c r="AN7" s="24" t="str">
        <v>Africa</v>
      </c>
      <c r="AO7" s="24" t="str">
        <v>Africa</v>
      </c>
      <c r="AP7" s="24" t="str">
        <v>Africa</v>
      </c>
      <c r="AQ7" s="24" t="str">
        <v>North America</v>
      </c>
      <c r="AR7" s="24" t="str">
        <v>Africa</v>
      </c>
      <c r="AS7" s="24" t="str">
        <v>Europe</v>
      </c>
      <c r="AT7" s="24" t="str">
        <v>North America</v>
      </c>
      <c r="AU7" s="24" t="str">
        <v>Asia</v>
      </c>
      <c r="AV7" s="24" t="str">
        <v>Europe</v>
      </c>
      <c r="AW7" s="24" t="str">
        <v>Europe</v>
      </c>
      <c r="AX7" s="24" t="str">
        <v>Africa</v>
      </c>
      <c r="AY7" s="24" t="str">
        <v>North America</v>
      </c>
      <c r="AZ7" s="24" t="str">
        <v>North America</v>
      </c>
      <c r="BA7" s="24" t="str">
        <v>South America</v>
      </c>
      <c r="BB7" s="24" t="str">
        <v>Africa</v>
      </c>
      <c r="BC7" s="24" t="str">
        <v>North America</v>
      </c>
      <c r="BD7" s="24" t="str">
        <v>Africa</v>
      </c>
      <c r="BE7" s="24" t="str">
        <v>Africa</v>
      </c>
      <c r="BF7" s="24" t="str">
        <v>Europe</v>
      </c>
      <c r="BG7" s="24" t="str">
        <v>Africa</v>
      </c>
      <c r="BH7" s="24" t="str">
        <v>Africa</v>
      </c>
      <c r="BI7" s="24" t="str">
        <v>Australia/Oceania</v>
      </c>
      <c r="BJ7" s="24" t="str">
        <v>Europe</v>
      </c>
      <c r="BK7" s="24" t="str">
        <v>Europe</v>
      </c>
      <c r="BL7" s="24" t="str">
        <v>Africa</v>
      </c>
      <c r="BM7" s="24" t="str">
        <v>Africa</v>
      </c>
      <c r="BN7" s="24" t="str">
        <v>Asia</v>
      </c>
      <c r="BO7" s="24" t="str">
        <v>Europe</v>
      </c>
      <c r="BP7" s="24" t="str">
        <v>Africa</v>
      </c>
      <c r="BQ7" s="24" t="str">
        <v>Europe</v>
      </c>
      <c r="BR7" s="24" t="str">
        <v>North America</v>
      </c>
      <c r="BS7" s="24" t="str">
        <v>North America</v>
      </c>
      <c r="BT7" s="24" t="str">
        <v>North America</v>
      </c>
      <c r="BU7" s="24" t="str">
        <v>Africa</v>
      </c>
      <c r="BV7" s="24" t="str">
        <v>Africa</v>
      </c>
      <c r="BW7" s="24" t="str">
        <v>South America</v>
      </c>
      <c r="BX7" s="24" t="str">
        <v>North America</v>
      </c>
      <c r="BY7" s="24" t="str">
        <v>Europe</v>
      </c>
      <c r="BZ7" s="24" t="str">
        <v>North America</v>
      </c>
      <c r="CA7" s="24" t="str">
        <v>Europe</v>
      </c>
      <c r="CB7" s="24" t="str">
        <v>Europe</v>
      </c>
      <c r="CC7" s="24" t="str">
        <v>Asia</v>
      </c>
      <c r="CD7" s="24" t="str">
        <v>Asia</v>
      </c>
      <c r="CE7" s="24" t="str">
        <v>Asia</v>
      </c>
      <c r="CF7" s="24" t="str">
        <v>Asia</v>
      </c>
      <c r="CG7" s="24" t="str">
        <v>Europe</v>
      </c>
      <c r="CH7" s="24" t="str">
        <v>Asia</v>
      </c>
      <c r="CI7" s="24" t="str">
        <v>Europe</v>
      </c>
      <c r="CJ7" s="24" t="str">
        <v>North America</v>
      </c>
      <c r="CK7" s="24" t="str">
        <v>Asia</v>
      </c>
      <c r="CL7" s="24" t="str">
        <v>Asia</v>
      </c>
      <c r="CM7" s="24" t="str">
        <v>Asia</v>
      </c>
      <c r="CN7" s="24" t="str">
        <v>Africa</v>
      </c>
      <c r="CO7" s="24" t="str">
        <v>Europe</v>
      </c>
      <c r="CP7" s="24" t="str">
        <v>Asia</v>
      </c>
      <c r="CQ7" s="24" t="str">
        <v>Asia</v>
      </c>
      <c r="CR7" s="24" t="str">
        <v>Asia</v>
      </c>
      <c r="CS7" s="24" t="str">
        <v>Europe</v>
      </c>
      <c r="CT7" s="24" t="str">
        <v>Asia</v>
      </c>
      <c r="CU7" s="24" t="str">
        <v>Africa</v>
      </c>
      <c r="CV7" s="24" t="str">
        <v>Africa</v>
      </c>
      <c r="CW7" s="24" t="str">
        <v>Africa</v>
      </c>
      <c r="CX7" s="24" t="str">
        <v>Europe</v>
      </c>
      <c r="CY7" s="24" t="str">
        <v>Europe</v>
      </c>
      <c r="CZ7" s="24" t="str">
        <v>Europe</v>
      </c>
      <c r="DA7" s="24" t="str">
        <v>Africa</v>
      </c>
      <c r="DB7" s="24" t="str">
        <v>Africa</v>
      </c>
      <c r="DC7" s="24" t="str">
        <v>Asia</v>
      </c>
      <c r="DD7" s="24" t="str">
        <v>Asia</v>
      </c>
      <c r="DE7" s="24" t="str">
        <v>Africa</v>
      </c>
      <c r="DF7" s="24" t="str">
        <v>Europe</v>
      </c>
      <c r="DG7" s="24" t="str">
        <v>Africa</v>
      </c>
      <c r="DH7" s="24" t="str">
        <v>Africa</v>
      </c>
      <c r="DI7" s="24" t="str">
        <v>North America</v>
      </c>
      <c r="DJ7" s="24" t="str">
        <v>Europe</v>
      </c>
      <c r="DK7" s="24" t="str">
        <v>Europe</v>
      </c>
      <c r="DL7" s="24" t="str">
        <v>Asia</v>
      </c>
      <c r="DM7" s="24" t="str">
        <v>Europe</v>
      </c>
      <c r="DN7" s="24" t="str">
        <v>Africa</v>
      </c>
      <c r="DO7" s="24" t="str">
        <v>Africa</v>
      </c>
      <c r="DP7" s="24" t="str">
        <v>Africa</v>
      </c>
      <c r="DQ7" s="24" t="str">
        <v>Asia</v>
      </c>
      <c r="DR7" s="24" t="str">
        <v>Europe</v>
      </c>
      <c r="DS7" s="24" t="str">
        <v>Australia/Oceania</v>
      </c>
      <c r="DT7" s="24" t="str">
        <v>North America</v>
      </c>
      <c r="DU7" s="24" t="str">
        <v>Africa</v>
      </c>
      <c r="DV7" s="24" t="str">
        <v>Africa</v>
      </c>
      <c r="DW7" s="24" t="str">
        <v>Europe</v>
      </c>
      <c r="DX7" s="24" t="str">
        <v>Europe</v>
      </c>
      <c r="DY7" s="24" t="str">
        <v>Asia</v>
      </c>
      <c r="DZ7" s="24" t="str">
        <v>Asia</v>
      </c>
      <c r="EA7" s="24" t="str">
        <v>Asia</v>
      </c>
      <c r="EB7" s="24" t="str">
        <v>Australia/Oceania</v>
      </c>
      <c r="EC7" s="24" t="str">
        <v>South America</v>
      </c>
      <c r="ED7" s="24" t="str">
        <v>South America</v>
      </c>
      <c r="EE7" s="24" t="str">
        <v>Asia</v>
      </c>
      <c r="EF7" s="24" t="str">
        <v>Europe</v>
      </c>
      <c r="EG7" s="24" t="str">
        <v>Europe</v>
      </c>
      <c r="EH7" s="24" t="str">
        <v>Asia</v>
      </c>
      <c r="EI7" s="24" t="str">
        <v>Europe</v>
      </c>
      <c r="EJ7" s="24" t="str">
        <v>Europe</v>
      </c>
      <c r="EK7" s="24" t="str">
        <v>Africa</v>
      </c>
      <c r="EL7" s="24" t="str">
        <v>North America</v>
      </c>
      <c r="EM7" s="24" t="str">
        <v>North America</v>
      </c>
      <c r="EN7" s="24" t="str">
        <v>North America</v>
      </c>
      <c r="EO7" s="24" t="str">
        <v>Europe</v>
      </c>
      <c r="EP7" s="24" t="str">
        <v>Africa</v>
      </c>
      <c r="EQ7" s="24" t="str">
        <v>Asia</v>
      </c>
      <c r="ER7" s="24" t="str">
        <v>Africa</v>
      </c>
      <c r="ES7" s="24" t="str">
        <v>Europe</v>
      </c>
      <c r="ET7" s="24" t="str">
        <v>Africa</v>
      </c>
      <c r="EU7" s="24" t="str">
        <v>Africa</v>
      </c>
      <c r="EV7" s="24" t="str">
        <v>Asia</v>
      </c>
      <c r="EW7" s="24" t="str">
        <v>Europe</v>
      </c>
      <c r="EX7" s="24" t="str">
        <v>Europe</v>
      </c>
      <c r="EY7" s="24" t="str">
        <v>Africa</v>
      </c>
      <c r="EZ7" s="24" t="str">
        <v>Africa</v>
      </c>
      <c r="FA7" s="24" t="str">
        <v>Asia</v>
      </c>
      <c r="FB7" s="24" t="str">
        <v>Africa</v>
      </c>
      <c r="FC7" s="24" t="str">
        <v>Europe</v>
      </c>
      <c r="FD7" s="24" t="str">
        <v>Asia</v>
      </c>
      <c r="FE7" s="24" t="str">
        <v>Africa</v>
      </c>
      <c r="FF7" s="24" t="str">
        <v>South America</v>
      </c>
      <c r="FG7" s="24" t="str">
        <v>Europe</v>
      </c>
      <c r="FH7" s="24" t="str">
        <v>Europe</v>
      </c>
      <c r="FI7" s="24" t="str">
        <v>Asia</v>
      </c>
      <c r="FJ7" s="24" t="str">
        <v>Asia</v>
      </c>
      <c r="FK7" s="24" t="str">
        <v>Asia</v>
      </c>
      <c r="FL7" s="24" t="str">
        <v>Africa</v>
      </c>
      <c r="FM7" s="24" t="str">
        <v>Asia</v>
      </c>
      <c r="FN7" s="24" t="str">
        <v>Asia</v>
      </c>
      <c r="FO7" s="24" t="str">
        <v>Africa</v>
      </c>
      <c r="FP7" s="24" t="str">
        <v>North America</v>
      </c>
      <c r="FQ7" s="24" t="str">
        <v>Africa</v>
      </c>
      <c r="FR7" s="24" t="str">
        <v>Asia</v>
      </c>
      <c r="FS7" s="24" t="str">
        <v>North America</v>
      </c>
      <c r="FT7" s="24" t="str">
        <v>Africa</v>
      </c>
      <c r="FU7" s="24" t="str">
        <v>Europe</v>
      </c>
      <c r="FV7" s="24" t="str">
        <v>Asia</v>
      </c>
      <c r="FW7" s="24" t="str">
        <v>Europe</v>
      </c>
      <c r="FX7" s="24" t="str">
        <v>South America</v>
      </c>
      <c r="FY7" s="24" t="str">
        <v>Asia</v>
      </c>
      <c r="FZ7" s="24" t="str">
        <v>South America</v>
      </c>
      <c r="GA7" s="24" t="str">
        <v>Asia</v>
      </c>
      <c r="GB7" s="24" t="str">
        <v>Asia</v>
      </c>
      <c r="GC7" s="24" t="str">
        <v>Africa</v>
      </c>
      <c r="GD7" s="24" t="str">
        <v>Asia</v>
      </c>
      <c r="GE7" s="24" t="str">
        <v>Africa</v>
      </c>
      <c r="GF7" s="24" t="str">
        <v>Africa</v>
      </c>
    </row>
    <row r="8" spans="1:188" x14ac:dyDescent="0.25">
      <c r="A8" s="24" t="str">
        <v>Date of First Case</v>
      </c>
      <c r="B8" s="24">
        <v>43885</v>
      </c>
      <c r="C8" s="24">
        <v>43899</v>
      </c>
      <c r="D8" s="24">
        <v>43886</v>
      </c>
      <c r="E8" s="24">
        <v>43892</v>
      </c>
      <c r="F8" s="24">
        <v>43911</v>
      </c>
      <c r="G8" s="24">
        <v>43903</v>
      </c>
      <c r="H8" s="24">
        <v>43893</v>
      </c>
      <c r="I8" s="24">
        <v>43891</v>
      </c>
      <c r="J8" s="24">
        <v>43855</v>
      </c>
      <c r="K8" s="24">
        <v>43886</v>
      </c>
      <c r="L8" s="24">
        <v>43889</v>
      </c>
      <c r="M8" s="24">
        <v>43905</v>
      </c>
      <c r="N8" s="24">
        <v>43882</v>
      </c>
      <c r="O8" s="24">
        <v>43898</v>
      </c>
      <c r="P8" s="24">
        <v>43907</v>
      </c>
      <c r="Q8" s="24">
        <v>43889</v>
      </c>
      <c r="R8" s="24">
        <v>43865</v>
      </c>
      <c r="S8" s="24">
        <v>43913</v>
      </c>
      <c r="T8" s="24">
        <v>43906</v>
      </c>
      <c r="U8" s="24">
        <v>43896</v>
      </c>
      <c r="V8" s="24">
        <v>43900</v>
      </c>
      <c r="W8" s="24">
        <v>43895</v>
      </c>
      <c r="X8" s="24">
        <v>43920</v>
      </c>
      <c r="Y8" s="24">
        <v>43887</v>
      </c>
      <c r="Z8" s="24">
        <v>43899</v>
      </c>
      <c r="AA8" s="24">
        <v>43898</v>
      </c>
      <c r="AB8" s="24">
        <v>43899</v>
      </c>
      <c r="AC8" s="24">
        <v>43913</v>
      </c>
      <c r="AD8" s="24">
        <v>43921</v>
      </c>
      <c r="AE8" s="24">
        <v>43910</v>
      </c>
      <c r="AF8" s="24">
        <v>43857</v>
      </c>
      <c r="AG8" s="24">
        <v>43896</v>
      </c>
      <c r="AH8" s="24">
        <v>43855</v>
      </c>
      <c r="AI8" s="24">
        <v>43904</v>
      </c>
      <c r="AJ8" s="24">
        <v>43909</v>
      </c>
      <c r="AK8" s="24">
        <v>43893</v>
      </c>
      <c r="AL8" s="24">
        <v>43786</v>
      </c>
      <c r="AM8" s="24">
        <v>43896</v>
      </c>
      <c r="AN8" s="24">
        <v>43951</v>
      </c>
      <c r="AO8" s="24">
        <v>43904</v>
      </c>
      <c r="AP8" s="24">
        <v>43900</v>
      </c>
      <c r="AQ8" s="24">
        <v>43896</v>
      </c>
      <c r="AR8" s="24">
        <v>43901</v>
      </c>
      <c r="AS8" s="24">
        <v>43886</v>
      </c>
      <c r="AT8" s="24">
        <v>43901</v>
      </c>
      <c r="AU8" s="24">
        <v>43899</v>
      </c>
      <c r="AV8" s="24">
        <v>43891</v>
      </c>
      <c r="AW8" s="24">
        <v>43888</v>
      </c>
      <c r="AX8" s="24">
        <v>43908</v>
      </c>
      <c r="AY8" s="24">
        <v>43912</v>
      </c>
      <c r="AZ8" s="24">
        <v>43891</v>
      </c>
      <c r="BA8" s="24">
        <v>43890</v>
      </c>
      <c r="BB8" s="24">
        <v>43875</v>
      </c>
      <c r="BC8" s="24">
        <v>43909</v>
      </c>
      <c r="BD8" s="24">
        <v>43904</v>
      </c>
      <c r="BE8" s="24">
        <v>43911</v>
      </c>
      <c r="BF8" s="24">
        <v>43888</v>
      </c>
      <c r="BG8" s="24">
        <v>43904</v>
      </c>
      <c r="BH8" s="24">
        <v>43903</v>
      </c>
      <c r="BI8" s="24">
        <v>43909</v>
      </c>
      <c r="BJ8" s="24">
        <v>43887</v>
      </c>
      <c r="BK8" s="24">
        <v>43826</v>
      </c>
      <c r="BL8" s="24">
        <v>43902</v>
      </c>
      <c r="BM8" s="24">
        <v>43907</v>
      </c>
      <c r="BN8" s="24">
        <v>43887</v>
      </c>
      <c r="BO8" s="24">
        <v>43857</v>
      </c>
      <c r="BP8" s="24">
        <v>43902</v>
      </c>
      <c r="BQ8" s="24">
        <v>43887</v>
      </c>
      <c r="BR8" s="24">
        <v>43898</v>
      </c>
      <c r="BS8" s="24">
        <v>43912</v>
      </c>
      <c r="BT8" s="24">
        <v>43903</v>
      </c>
      <c r="BU8" s="24">
        <v>43903</v>
      </c>
      <c r="BV8" s="24">
        <v>43915</v>
      </c>
      <c r="BW8" s="24">
        <v>43902</v>
      </c>
      <c r="BX8" s="24">
        <v>43909</v>
      </c>
      <c r="BY8" s="24">
        <v>43912</v>
      </c>
      <c r="BZ8" s="24">
        <v>43907</v>
      </c>
      <c r="CA8" s="24">
        <v>43894</v>
      </c>
      <c r="CB8" s="24">
        <v>43889</v>
      </c>
      <c r="CC8" s="24">
        <v>43860</v>
      </c>
      <c r="CD8" s="24">
        <v>43892</v>
      </c>
      <c r="CE8" s="24">
        <v>43880</v>
      </c>
      <c r="CF8" s="24">
        <v>43883</v>
      </c>
      <c r="CG8" s="24">
        <v>43890</v>
      </c>
      <c r="CH8" s="24">
        <v>43882</v>
      </c>
      <c r="CI8" s="24">
        <v>43861</v>
      </c>
      <c r="CJ8" s="24">
        <v>43900</v>
      </c>
      <c r="CK8" s="24">
        <v>43846</v>
      </c>
      <c r="CL8" s="24">
        <v>43892</v>
      </c>
      <c r="CM8" s="24">
        <v>43903</v>
      </c>
      <c r="CN8" s="24">
        <v>43903</v>
      </c>
      <c r="CO8" s="24">
        <v>43903</v>
      </c>
      <c r="CP8" s="24">
        <v>43885</v>
      </c>
      <c r="CQ8" s="24">
        <v>43908</v>
      </c>
      <c r="CR8" s="24">
        <v>43914</v>
      </c>
      <c r="CS8" s="24">
        <v>43892</v>
      </c>
      <c r="CT8" s="24">
        <v>43882</v>
      </c>
      <c r="CU8" s="24">
        <v>43964</v>
      </c>
      <c r="CV8" s="24">
        <v>43906</v>
      </c>
      <c r="CW8" s="24">
        <v>43914</v>
      </c>
      <c r="CX8" s="24">
        <v>43893</v>
      </c>
      <c r="CY8" s="24">
        <v>43889</v>
      </c>
      <c r="CZ8" s="24">
        <v>43890</v>
      </c>
      <c r="DA8" s="24">
        <v>43910</v>
      </c>
      <c r="DB8" s="24">
        <v>43922</v>
      </c>
      <c r="DC8" s="24">
        <v>43855</v>
      </c>
      <c r="DD8" s="24">
        <v>43897</v>
      </c>
      <c r="DE8" s="24">
        <v>43915</v>
      </c>
      <c r="DF8" s="24">
        <v>43897</v>
      </c>
      <c r="DG8" s="24">
        <v>43903</v>
      </c>
      <c r="DH8" s="24">
        <v>43908</v>
      </c>
      <c r="DI8" s="24">
        <v>43889</v>
      </c>
      <c r="DJ8" s="24">
        <v>43897</v>
      </c>
      <c r="DK8" s="24">
        <v>43890</v>
      </c>
      <c r="DL8" s="24">
        <v>43900</v>
      </c>
      <c r="DM8" s="24">
        <v>43907</v>
      </c>
      <c r="DN8" s="24">
        <v>43892</v>
      </c>
      <c r="DO8" s="24">
        <v>43912</v>
      </c>
      <c r="DP8" s="24">
        <v>43904</v>
      </c>
      <c r="DQ8" s="24">
        <v>43843</v>
      </c>
      <c r="DR8" s="24">
        <v>43888</v>
      </c>
      <c r="DS8" s="24">
        <v>43889</v>
      </c>
      <c r="DT8" s="24">
        <v>43908</v>
      </c>
      <c r="DU8" s="24">
        <v>43909</v>
      </c>
      <c r="DV8" s="24">
        <v>43888</v>
      </c>
      <c r="DW8" s="24">
        <v>43887</v>
      </c>
      <c r="DX8" s="24">
        <v>43887</v>
      </c>
      <c r="DY8" s="24">
        <v>43885</v>
      </c>
      <c r="DZ8" s="24">
        <v>43887</v>
      </c>
      <c r="EA8" s="24">
        <v>43899</v>
      </c>
      <c r="EB8" s="24">
        <v>43910</v>
      </c>
      <c r="EC8" s="24">
        <v>43897</v>
      </c>
      <c r="ED8" s="24">
        <v>43896</v>
      </c>
      <c r="EE8" s="24">
        <v>43860</v>
      </c>
      <c r="EF8" s="24">
        <v>43894</v>
      </c>
      <c r="EG8" s="24">
        <v>43892</v>
      </c>
      <c r="EH8" s="24">
        <v>43888</v>
      </c>
      <c r="EI8" s="24">
        <v>43887</v>
      </c>
      <c r="EJ8" s="24">
        <v>43861</v>
      </c>
      <c r="EK8" s="24">
        <v>43904</v>
      </c>
      <c r="EL8" s="24">
        <v>43914</v>
      </c>
      <c r="EM8" s="24">
        <v>43903</v>
      </c>
      <c r="EN8" s="24">
        <v>43901</v>
      </c>
      <c r="EO8" s="24">
        <v>43888</v>
      </c>
      <c r="EP8" s="24">
        <v>43927</v>
      </c>
      <c r="EQ8" s="24">
        <v>43892</v>
      </c>
      <c r="ER8" s="24">
        <v>43892</v>
      </c>
      <c r="ES8" s="24">
        <v>43896</v>
      </c>
      <c r="ET8" s="24">
        <v>43904</v>
      </c>
      <c r="EU8" s="24">
        <v>43921</v>
      </c>
      <c r="EV8" s="24">
        <v>43853</v>
      </c>
      <c r="EW8" s="24">
        <v>43896</v>
      </c>
      <c r="EX8" s="24">
        <v>43894</v>
      </c>
      <c r="EY8" s="24">
        <v>43906</v>
      </c>
      <c r="EZ8" s="24">
        <v>43895</v>
      </c>
      <c r="FA8" s="24">
        <v>43850</v>
      </c>
      <c r="FB8" s="24">
        <v>43926</v>
      </c>
      <c r="FC8" s="24">
        <v>43861</v>
      </c>
      <c r="FD8" s="24">
        <v>43857</v>
      </c>
      <c r="FE8" s="24">
        <v>43903</v>
      </c>
      <c r="FF8" s="24">
        <v>43903</v>
      </c>
      <c r="FG8" s="24">
        <v>43861</v>
      </c>
      <c r="FH8" s="24">
        <v>43886</v>
      </c>
      <c r="FI8" s="24">
        <v>43912</v>
      </c>
      <c r="FJ8" s="24">
        <v>43851</v>
      </c>
      <c r="FK8" s="24">
        <v>43951</v>
      </c>
      <c r="FL8" s="24">
        <v>43906</v>
      </c>
      <c r="FM8" s="24">
        <v>43843</v>
      </c>
      <c r="FN8" s="24">
        <v>43911</v>
      </c>
      <c r="FO8" s="24">
        <v>43896</v>
      </c>
      <c r="FP8" s="24">
        <v>43902</v>
      </c>
      <c r="FQ8" s="24">
        <v>43892</v>
      </c>
      <c r="FR8" s="24">
        <v>43901</v>
      </c>
      <c r="FS8" s="24">
        <v>43851</v>
      </c>
      <c r="FT8" s="24">
        <v>43912</v>
      </c>
      <c r="FU8" s="24">
        <v>43893</v>
      </c>
      <c r="FV8" s="24">
        <v>43859</v>
      </c>
      <c r="FW8" s="24">
        <v>43861</v>
      </c>
      <c r="FX8" s="24">
        <v>43903</v>
      </c>
      <c r="FY8" s="24">
        <v>43905</v>
      </c>
      <c r="FZ8" s="24">
        <v>43903</v>
      </c>
      <c r="GA8" s="24">
        <v>43853</v>
      </c>
      <c r="GB8" s="24">
        <v>43895</v>
      </c>
      <c r="GC8" s="24">
        <v>43925</v>
      </c>
      <c r="GD8" s="24">
        <v>43931</v>
      </c>
      <c r="GE8" s="24">
        <v>43908</v>
      </c>
      <c r="GF8" s="24">
        <v>43911</v>
      </c>
    </row>
    <row r="9" spans="1:188" x14ac:dyDescent="0.25">
      <c r="A9" s="24" t="str">
        <v>Death Rate (%)</v>
      </c>
      <c r="B9" s="24">
        <v>3.4994346854920991E-2</v>
      </c>
      <c r="C9" s="24">
        <v>2.9508196721311476E-2</v>
      </c>
      <c r="D9" s="24">
        <v>4.1575805240767885E-2</v>
      </c>
      <c r="E9" s="24">
        <v>5.7331863285556783E-2</v>
      </c>
      <c r="F9" s="24">
        <v>4.3157894736842103E-2</v>
      </c>
      <c r="G9" s="24">
        <v>3.4883720930232558E-2</v>
      </c>
      <c r="H9" s="24">
        <v>1.8271849763463469E-2</v>
      </c>
      <c r="I9" s="24">
        <v>1.901577962021931E-2</v>
      </c>
      <c r="J9" s="24">
        <v>1.0912892896817617E-2</v>
      </c>
      <c r="K9" s="24">
        <v>3.4682362097480303E-2</v>
      </c>
      <c r="L9" s="24">
        <v>1.389345069959929E-2</v>
      </c>
      <c r="M9" s="24">
        <v>2.8795811518324606E-2</v>
      </c>
      <c r="N9" s="24">
        <v>3.5712476571602247E-3</v>
      </c>
      <c r="O9" s="24">
        <v>1.3106420598961211E-2</v>
      </c>
      <c r="P9" s="24">
        <v>6.363636363636363E-2</v>
      </c>
      <c r="Q9" s="24">
        <v>7.9998810426610764E-3</v>
      </c>
      <c r="R9" s="24">
        <v>0.14785933642439936</v>
      </c>
      <c r="S9" s="24">
        <v>4.1666666666666664E-2</v>
      </c>
      <c r="T9" s="24">
        <v>1.977401129943503E-2</v>
      </c>
      <c r="U9" s="24">
        <v>0</v>
      </c>
      <c r="V9" s="24">
        <v>3.7186889759907839E-2</v>
      </c>
      <c r="W9" s="24">
        <v>2.8005334349399887E-2</v>
      </c>
      <c r="X9" s="24">
        <v>2.7063599458728013E-3</v>
      </c>
      <c r="Y9" s="24">
        <v>3.5874097957930291E-2</v>
      </c>
      <c r="Z9" s="24">
        <v>2.1276595744680851E-2</v>
      </c>
      <c r="AA9" s="24">
        <v>3.2671123246398641E-2</v>
      </c>
      <c r="AB9" s="24">
        <v>4.818181818181818E-2</v>
      </c>
      <c r="AC9" s="24">
        <v>1.7142857142857144E-2</v>
      </c>
      <c r="AD9" s="24">
        <v>2.6455026455026454E-3</v>
      </c>
      <c r="AE9" s="24">
        <v>9.4501718213058413E-3</v>
      </c>
      <c r="AF9" s="24">
        <v>0</v>
      </c>
      <c r="AG9" s="24">
        <v>2.2852133255406196E-2</v>
      </c>
      <c r="AH9" s="24">
        <v>7.6800219821738305E-2</v>
      </c>
      <c r="AI9" s="24">
        <v>1.2828875842574472E-2</v>
      </c>
      <c r="AJ9" s="24">
        <v>8.1344902386117135E-2</v>
      </c>
      <c r="AK9" s="24">
        <v>2.6405267832250241E-2</v>
      </c>
      <c r="AL9" s="24">
        <v>5.365106069161011E-2</v>
      </c>
      <c r="AM9" s="24">
        <v>3.4138334740043796E-2</v>
      </c>
      <c r="AN9" s="24">
        <v>1.977401129943503E-2</v>
      </c>
      <c r="AO9" s="24">
        <v>1.6875000000000001E-2</v>
      </c>
      <c r="AP9" s="24">
        <v>2.3518769787426504E-2</v>
      </c>
      <c r="AQ9" s="24">
        <v>7.2596426993245377E-3</v>
      </c>
      <c r="AR9" s="24">
        <v>6.1322261258383902E-3</v>
      </c>
      <c r="AS9" s="24">
        <v>2.8477770948576113E-2</v>
      </c>
      <c r="AT9" s="24">
        <v>3.4360189573459717E-2</v>
      </c>
      <c r="AU9" s="24">
        <v>1.7924528301886792E-2</v>
      </c>
      <c r="AV9" s="24">
        <v>2.4039700953854087E-2</v>
      </c>
      <c r="AW9" s="24">
        <v>4.454618123682872E-2</v>
      </c>
      <c r="AX9" s="24">
        <v>1.1464716347104172E-2</v>
      </c>
      <c r="AY9" s="24">
        <v>0</v>
      </c>
      <c r="AZ9" s="24">
        <v>1.688072822495168E-2</v>
      </c>
      <c r="BA9" s="24">
        <v>6.8160816155542689E-2</v>
      </c>
      <c r="BB9" s="24">
        <v>5.0301680326982547E-2</v>
      </c>
      <c r="BC9" s="24">
        <v>2.7136681077485868E-2</v>
      </c>
      <c r="BD9" s="24">
        <v>1.6606968414197329E-2</v>
      </c>
      <c r="BE9" s="24">
        <v>0</v>
      </c>
      <c r="BF9" s="24">
        <v>3.3923303834808259E-2</v>
      </c>
      <c r="BG9" s="24">
        <v>1.468048359240069E-2</v>
      </c>
      <c r="BH9" s="24">
        <v>1.5673334708187256E-2</v>
      </c>
      <c r="BI9" s="24">
        <v>0</v>
      </c>
      <c r="BJ9" s="24">
        <v>4.4471478778048121E-2</v>
      </c>
      <c r="BK9" s="24">
        <v>0.13710790008713331</v>
      </c>
      <c r="BL9" s="24">
        <v>6.815968841285297E-3</v>
      </c>
      <c r="BM9" s="24">
        <v>2.4539877300613498E-2</v>
      </c>
      <c r="BN9" s="24">
        <v>1.4072119613016711E-2</v>
      </c>
      <c r="BO9" s="24">
        <v>4.4058287303487965E-2</v>
      </c>
      <c r="BP9" s="24">
        <v>4.9964311206281229E-3</v>
      </c>
      <c r="BQ9" s="24">
        <v>4.7788029335225926E-2</v>
      </c>
      <c r="BR9" s="24">
        <v>0</v>
      </c>
      <c r="BS9" s="24">
        <v>0</v>
      </c>
      <c r="BT9" s="24">
        <v>3.8866450374097861E-2</v>
      </c>
      <c r="BU9" s="24">
        <v>6.3784549964564135E-3</v>
      </c>
      <c r="BV9" s="24">
        <v>1.3306038894575231E-2</v>
      </c>
      <c r="BW9" s="24">
        <v>5.1413881748071981E-2</v>
      </c>
      <c r="BX9" s="24">
        <v>2.1525885558583105E-2</v>
      </c>
      <c r="BY9" s="24">
        <v>0</v>
      </c>
      <c r="BZ9" s="24">
        <v>2.9339976346845827E-2</v>
      </c>
      <c r="CA9" s="24">
        <v>0.13399280575539568</v>
      </c>
      <c r="CB9" s="24">
        <v>5.3937432578209281E-3</v>
      </c>
      <c r="CC9" s="24">
        <v>2.2571859631247918E-2</v>
      </c>
      <c r="CD9" s="24">
        <v>4.8233851430166598E-2</v>
      </c>
      <c r="CE9" s="24">
        <v>5.4195077757266542E-2</v>
      </c>
      <c r="CF9" s="24">
        <v>3.9596749122884932E-2</v>
      </c>
      <c r="CG9" s="24">
        <v>6.8129151861578863E-2</v>
      </c>
      <c r="CH9" s="24">
        <v>7.407986246776588E-3</v>
      </c>
      <c r="CI9" s="24">
        <v>0.14256595990027854</v>
      </c>
      <c r="CJ9" s="24">
        <v>1.1723329425556858E-2</v>
      </c>
      <c r="CK9" s="24">
        <v>3.2046753580373774E-2</v>
      </c>
      <c r="CL9" s="24">
        <v>9.3537414965986394E-3</v>
      </c>
      <c r="CM9" s="24">
        <v>6.9109724978735467E-3</v>
      </c>
      <c r="CN9" s="24">
        <v>1.5855354659248956E-2</v>
      </c>
      <c r="CO9" s="24">
        <v>2.4956158100634021E-2</v>
      </c>
      <c r="CP9" s="24">
        <v>6.8034607558365304E-3</v>
      </c>
      <c r="CQ9" s="24">
        <v>3.9073762614127823E-2</v>
      </c>
      <c r="CR9" s="24">
        <v>0</v>
      </c>
      <c r="CS9" s="24">
        <v>2.5430680885972109E-2</v>
      </c>
      <c r="CT9" s="24">
        <v>1.3137557959814529E-2</v>
      </c>
      <c r="CU9" s="24">
        <v>2.3762376237623763E-2</v>
      </c>
      <c r="CV9" s="24">
        <v>6.1696658097686374E-2</v>
      </c>
      <c r="CW9" s="24">
        <v>2.2638839759462327E-2</v>
      </c>
      <c r="CX9" s="24">
        <v>1.1627906976744186E-2</v>
      </c>
      <c r="CY9" s="24">
        <v>3.9623576027736501E-2</v>
      </c>
      <c r="CZ9" s="24">
        <v>1.7718715393133997E-2</v>
      </c>
      <c r="DA9" s="24">
        <v>9.3911248710010324E-3</v>
      </c>
      <c r="DB9" s="24">
        <v>2.7019650655021835E-2</v>
      </c>
      <c r="DC9" s="24">
        <v>1.3926325247079964E-2</v>
      </c>
      <c r="DD9" s="24">
        <v>4.4523597506678537E-3</v>
      </c>
      <c r="DE9" s="24">
        <v>4.9343414245921209E-2</v>
      </c>
      <c r="DF9" s="24">
        <v>1.2838801711840228E-2</v>
      </c>
      <c r="DG9" s="24">
        <v>2.5128865979381444E-2</v>
      </c>
      <c r="DH9" s="24">
        <v>2.9069767441860465E-2</v>
      </c>
      <c r="DI9" s="24">
        <v>0.11131030193001576</v>
      </c>
      <c r="DJ9" s="24">
        <v>3.2305433186490456E-2</v>
      </c>
      <c r="DK9" s="24">
        <v>3.4482758620689655E-2</v>
      </c>
      <c r="DL9" s="24">
        <v>0</v>
      </c>
      <c r="DM9" s="24">
        <v>1.5554787417905289E-2</v>
      </c>
      <c r="DN9" s="24">
        <v>1.5129027624838417E-2</v>
      </c>
      <c r="DO9" s="24">
        <v>6.4667842445620223E-3</v>
      </c>
      <c r="DP9" s="24">
        <v>4.3407487791644059E-3</v>
      </c>
      <c r="DQ9" s="24">
        <v>2.5597269624573378E-3</v>
      </c>
      <c r="DR9" s="24">
        <v>0.11532772920450078</v>
      </c>
      <c r="DS9" s="24">
        <v>1.4129736673089274E-2</v>
      </c>
      <c r="DT9" s="24">
        <v>3.1404478045943589E-2</v>
      </c>
      <c r="DU9" s="24">
        <v>6.0954063604240286E-2</v>
      </c>
      <c r="DV9" s="24">
        <v>2.0883924235065566E-2</v>
      </c>
      <c r="DW9" s="24">
        <v>4.5628121022226575E-2</v>
      </c>
      <c r="DX9" s="24">
        <v>2.7923784494086726E-2</v>
      </c>
      <c r="DY9" s="24">
        <v>5.1000545043992833E-3</v>
      </c>
      <c r="DZ9" s="24">
        <v>2.1298703192618004E-2</v>
      </c>
      <c r="EA9" s="24">
        <v>2.1516226685329255E-2</v>
      </c>
      <c r="EB9" s="24">
        <v>0</v>
      </c>
      <c r="EC9" s="24">
        <v>9.4547053649956022E-3</v>
      </c>
      <c r="ED9" s="24">
        <v>4.7259934773181564E-2</v>
      </c>
      <c r="EE9" s="24">
        <v>2.370794734275963E-2</v>
      </c>
      <c r="EF9" s="24">
        <v>3.8615731993917331E-2</v>
      </c>
      <c r="EG9" s="24">
        <v>3.4175629734189548E-2</v>
      </c>
      <c r="EH9" s="24">
        <v>1.5055156619250528E-3</v>
      </c>
      <c r="EI9" s="24">
        <v>4.805890810857915E-2</v>
      </c>
      <c r="EJ9" s="24">
        <v>1.6327080374197972E-2</v>
      </c>
      <c r="EK9" s="24">
        <v>2.6609898882384245E-3</v>
      </c>
      <c r="EL9" s="24">
        <v>0</v>
      </c>
      <c r="EM9" s="24">
        <v>0</v>
      </c>
      <c r="EN9" s="24">
        <v>0</v>
      </c>
      <c r="EO9" s="24">
        <v>6.0085836909871244E-2</v>
      </c>
      <c r="EP9" s="24">
        <v>1.6184971098265895E-2</v>
      </c>
      <c r="EQ9" s="24">
        <v>1.0262741044271086E-2</v>
      </c>
      <c r="ER9" s="24">
        <v>1.9868906185989348E-2</v>
      </c>
      <c r="ES9" s="24">
        <v>2.2492854479930408E-2</v>
      </c>
      <c r="ET9" s="24">
        <v>0</v>
      </c>
      <c r="EU9" s="24">
        <v>3.7016264722378012E-2</v>
      </c>
      <c r="EV9" s="24">
        <v>5.3109878437389356E-4</v>
      </c>
      <c r="EW9" s="24">
        <v>1.2838147638697846E-2</v>
      </c>
      <c r="EX9" s="24">
        <v>5.558217537134643E-2</v>
      </c>
      <c r="EY9" s="24">
        <v>2.9098873591989989E-2</v>
      </c>
      <c r="EZ9" s="24">
        <v>1.5616678710093718E-2</v>
      </c>
      <c r="FA9" s="24">
        <v>2.1122298106033936E-2</v>
      </c>
      <c r="FB9" s="24">
        <v>1.9956616052060738E-2</v>
      </c>
      <c r="FC9" s="24">
        <v>0.10436787178668311</v>
      </c>
      <c r="FD9" s="24">
        <v>3.9215686274509803E-3</v>
      </c>
      <c r="FE9" s="24">
        <v>6.3025210084033612E-2</v>
      </c>
      <c r="FF9" s="24">
        <v>1.6183412002697236E-2</v>
      </c>
      <c r="FG9" s="24">
        <v>7.1792934063857922E-2</v>
      </c>
      <c r="FH9" s="24">
        <v>5.7371581054036024E-2</v>
      </c>
      <c r="FI9" s="24">
        <v>5.9347181008902079E-2</v>
      </c>
      <c r="FJ9" s="24">
        <v>1.5151515151515152E-2</v>
      </c>
      <c r="FK9" s="24">
        <v>8.2930200414651004E-3</v>
      </c>
      <c r="FL9" s="24">
        <v>4.1257367387033402E-2</v>
      </c>
      <c r="FM9" s="24">
        <v>1.7591750075826508E-2</v>
      </c>
      <c r="FN9" s="24">
        <v>0</v>
      </c>
      <c r="FO9" s="24">
        <v>2.0594965675057208E-2</v>
      </c>
      <c r="FP9" s="24">
        <v>5.4054054054054057E-2</v>
      </c>
      <c r="FQ9" s="24">
        <v>3.4364261168384883E-2</v>
      </c>
      <c r="FR9" s="24">
        <v>2.4799686369863315E-2</v>
      </c>
      <c r="FS9" s="24">
        <v>3.4499315775574385E-2</v>
      </c>
      <c r="FT9" s="24">
        <v>1.7730496453900709E-3</v>
      </c>
      <c r="FU9" s="24">
        <v>2.4382973649695959E-2</v>
      </c>
      <c r="FV9" s="24">
        <v>5.8299677239468037E-3</v>
      </c>
      <c r="FW9" s="24">
        <v>0.15194824134593712</v>
      </c>
      <c r="FX9" s="24">
        <v>2.9118136439267885E-2</v>
      </c>
      <c r="FY9" s="24">
        <v>5.7051251827054551E-3</v>
      </c>
      <c r="FZ9" s="24">
        <v>9.1318488866649981E-3</v>
      </c>
      <c r="GA9" s="24">
        <v>0</v>
      </c>
      <c r="GB9" s="24">
        <v>7.3439412484700125E-3</v>
      </c>
      <c r="GC9" s="24">
        <v>0.1</v>
      </c>
      <c r="GD9" s="24">
        <v>0.28562980484920164</v>
      </c>
      <c r="GE9" s="24">
        <v>3.0755711775043937E-2</v>
      </c>
      <c r="GF9" s="24">
        <v>1.3313609467455622E-2</v>
      </c>
    </row>
    <row r="10" spans="1:188" x14ac:dyDescent="0.25">
      <c r="A10" s="24" t="str">
        <v>Recovery Rate (%)</v>
      </c>
      <c r="B10" s="24">
        <v>0.69486804732096075</v>
      </c>
      <c r="C10" s="24">
        <v>0.5625</v>
      </c>
      <c r="D10" s="24">
        <v>0.67339934937260926</v>
      </c>
      <c r="E10" s="24">
        <v>0.88533627342888643</v>
      </c>
      <c r="F10" s="24">
        <v>0.25473684210526315</v>
      </c>
      <c r="G10" s="24">
        <v>0.7558139534883721</v>
      </c>
      <c r="H10" s="24">
        <v>0.43350097959573758</v>
      </c>
      <c r="I10" s="24">
        <v>0.71315859855576358</v>
      </c>
      <c r="J10" s="24">
        <v>0.60844278899562176</v>
      </c>
      <c r="K10" s="24">
        <v>0.88753769821967121</v>
      </c>
      <c r="L10" s="24">
        <v>0.76338435262431847</v>
      </c>
      <c r="M10" s="24">
        <v>0.23821989528795812</v>
      </c>
      <c r="N10" s="24">
        <v>0.91459399219897675</v>
      </c>
      <c r="O10" s="24">
        <v>0.55556636092385903</v>
      </c>
      <c r="P10" s="24">
        <v>0.8545454545454545</v>
      </c>
      <c r="Q10" s="24">
        <v>0.89949591827630815</v>
      </c>
      <c r="R10" s="24">
        <v>0.26272053953152286</v>
      </c>
      <c r="S10" s="24">
        <v>0.54166666666666663</v>
      </c>
      <c r="T10" s="24">
        <v>0.58531073446327686</v>
      </c>
      <c r="U10" s="24">
        <v>0.86868686868686873</v>
      </c>
      <c r="V10" s="24">
        <v>0.30173782329554233</v>
      </c>
      <c r="W10" s="24">
        <v>0.46961325966850831</v>
      </c>
      <c r="X10" s="24">
        <v>8.5250338294993233E-2</v>
      </c>
      <c r="Y10" s="24">
        <v>0.75608413941348074</v>
      </c>
      <c r="Z10" s="24">
        <v>0.97872340425531912</v>
      </c>
      <c r="AA10" s="24">
        <v>0.52584502400903865</v>
      </c>
      <c r="AB10" s="24">
        <v>0.8418181818181818</v>
      </c>
      <c r="AC10" s="24">
        <v>0.8342857142857143</v>
      </c>
      <c r="AD10" s="24">
        <v>0.79629629629629628</v>
      </c>
      <c r="AE10" s="24">
        <v>0.66580756013745701</v>
      </c>
      <c r="AF10" s="24">
        <v>0.65044247787610621</v>
      </c>
      <c r="AG10" s="24">
        <v>0.84973699590882523</v>
      </c>
      <c r="AH10" s="24">
        <v>0</v>
      </c>
      <c r="AI10" s="24">
        <v>0.33616003479017176</v>
      </c>
      <c r="AJ10" s="24">
        <v>0.87852494577006512</v>
      </c>
      <c r="AK10" s="24">
        <v>0.91961152323933748</v>
      </c>
      <c r="AL10" s="24">
        <v>0.90880702441722461</v>
      </c>
      <c r="AM10" s="24">
        <v>0.51015359722443709</v>
      </c>
      <c r="AN10" s="24">
        <v>0.92655367231638419</v>
      </c>
      <c r="AO10" s="24">
        <v>0.25906249999999997</v>
      </c>
      <c r="AP10" s="24">
        <v>0.64450474898236088</v>
      </c>
      <c r="AQ10" s="24">
        <v>0.24139890158449592</v>
      </c>
      <c r="AR10" s="24">
        <v>0.66183328010220377</v>
      </c>
      <c r="AS10" s="24">
        <v>0.80639213275968036</v>
      </c>
      <c r="AT10" s="24">
        <v>0.92851500789889418</v>
      </c>
      <c r="AU10" s="24">
        <v>0.80377358490566042</v>
      </c>
      <c r="AV10" s="24">
        <v>0.7365300335137922</v>
      </c>
      <c r="AW10" s="24">
        <v>0.91599447714555626</v>
      </c>
      <c r="AX10" s="24">
        <v>0.98379126309547338</v>
      </c>
      <c r="AY10" s="24">
        <v>1</v>
      </c>
      <c r="AZ10" s="24">
        <v>0.47078994949809838</v>
      </c>
      <c r="BA10" s="24">
        <v>0.42996020256034301</v>
      </c>
      <c r="BB10" s="24">
        <v>0.37670033087519733</v>
      </c>
      <c r="BC10" s="24">
        <v>0.51732623877618888</v>
      </c>
      <c r="BD10" s="24">
        <v>0.27417779225008143</v>
      </c>
      <c r="BE10" s="24">
        <v>0.72075471698113203</v>
      </c>
      <c r="BF10" s="24">
        <v>0.94542772861356927</v>
      </c>
      <c r="BG10" s="24">
        <v>0.442573402417962</v>
      </c>
      <c r="BH10" s="24">
        <v>0.43899085722142023</v>
      </c>
      <c r="BI10" s="24">
        <v>0.66666666666666663</v>
      </c>
      <c r="BJ10" s="24">
        <v>0.93538794268721281</v>
      </c>
      <c r="BK10" s="24">
        <v>0.36855576532094103</v>
      </c>
      <c r="BL10" s="24">
        <v>0.65127277785505633</v>
      </c>
      <c r="BM10" s="24">
        <v>0.20245398773006135</v>
      </c>
      <c r="BN10" s="24">
        <v>0.81090589270008795</v>
      </c>
      <c r="BO10" s="24">
        <v>0.91889412491791878</v>
      </c>
      <c r="BP10" s="24">
        <v>0.88630145134427785</v>
      </c>
      <c r="BQ10" s="24">
        <v>0.32505322924059615</v>
      </c>
      <c r="BR10" s="24">
        <v>0.9285714285714286</v>
      </c>
      <c r="BS10" s="24">
        <v>1</v>
      </c>
      <c r="BT10" s="24">
        <v>0.71630360414045779</v>
      </c>
      <c r="BU10" s="24">
        <v>0.88688873139617297</v>
      </c>
      <c r="BV10" s="24">
        <v>0.41095189355168882</v>
      </c>
      <c r="BW10" s="24">
        <v>0.4652956298200514</v>
      </c>
      <c r="BX10" s="24">
        <v>0.59468664850136244</v>
      </c>
      <c r="BY10" s="24">
        <v>1</v>
      </c>
      <c r="BZ10" s="24">
        <v>0.12679600412672051</v>
      </c>
      <c r="CA10" s="24">
        <v>0.74842625899280579</v>
      </c>
      <c r="CB10" s="24">
        <v>0.98327939590075508</v>
      </c>
      <c r="CC10" s="24">
        <v>0.64264803154979522</v>
      </c>
      <c r="CD10" s="24">
        <v>0.57997268277120329</v>
      </c>
      <c r="CE10" s="24">
        <v>0.86900131468702957</v>
      </c>
      <c r="CF10" s="24">
        <v>0.68520673269085575</v>
      </c>
      <c r="CG10" s="24">
        <v>0.90236366445234051</v>
      </c>
      <c r="CH10" s="24">
        <v>0.42405251230757207</v>
      </c>
      <c r="CI10" s="24">
        <v>0.80635115272488078</v>
      </c>
      <c r="CJ10" s="24">
        <v>0.83704572098475971</v>
      </c>
      <c r="CK10" s="24">
        <v>0.70547813242566304</v>
      </c>
      <c r="CL10" s="24">
        <v>0.88520408163265307</v>
      </c>
      <c r="CM10" s="24">
        <v>0.64270862867403833</v>
      </c>
      <c r="CN10" s="24">
        <v>0.4357719054242003</v>
      </c>
      <c r="CO10" s="24">
        <v>0.54323485768244972</v>
      </c>
      <c r="CP10" s="24">
        <v>0.85520123021482164</v>
      </c>
      <c r="CQ10" s="24">
        <v>0.63686328688130711</v>
      </c>
      <c r="CR10" s="24">
        <v>0.95</v>
      </c>
      <c r="CS10" s="24">
        <v>0.85726004922067267</v>
      </c>
      <c r="CT10" s="24">
        <v>0.44023699124162802</v>
      </c>
      <c r="CU10" s="24">
        <v>0.25346534653465347</v>
      </c>
      <c r="CV10" s="24">
        <v>0.55355612682090827</v>
      </c>
      <c r="CW10" s="24">
        <v>0.20410328970640254</v>
      </c>
      <c r="CX10" s="24">
        <v>0.94186046511627908</v>
      </c>
      <c r="CY10" s="24">
        <v>0.80237741456166423</v>
      </c>
      <c r="CZ10" s="24">
        <v>0.763328587248853</v>
      </c>
      <c r="DA10" s="24">
        <v>0.6460268317853457</v>
      </c>
      <c r="DB10" s="24">
        <v>0.44896288209606988</v>
      </c>
      <c r="DC10" s="24">
        <v>0.96597035040431267</v>
      </c>
      <c r="DD10" s="24">
        <v>0.75601068566340157</v>
      </c>
      <c r="DE10" s="24">
        <v>0.76124154397134902</v>
      </c>
      <c r="DF10" s="24">
        <v>0.94864479315263905</v>
      </c>
      <c r="DG10" s="24">
        <v>0.74951675257731953</v>
      </c>
      <c r="DH10" s="24">
        <v>0.96511627906976749</v>
      </c>
      <c r="DI10" s="24">
        <v>0.7681882429094109</v>
      </c>
      <c r="DJ10" s="24">
        <v>0.69767642739915348</v>
      </c>
      <c r="DK10" s="24">
        <v>0.89655172413793105</v>
      </c>
      <c r="DL10" s="24">
        <v>0.76816608996539792</v>
      </c>
      <c r="DM10" s="24">
        <v>0.27964051157967507</v>
      </c>
      <c r="DN10" s="24">
        <v>0.79250251352515921</v>
      </c>
      <c r="DO10" s="24">
        <v>0</v>
      </c>
      <c r="DP10" s="24">
        <v>5.4801953336950621E-2</v>
      </c>
      <c r="DQ10" s="24">
        <v>0.73346843003412965</v>
      </c>
      <c r="DR10" s="24">
        <v>3.5384644187744555E-3</v>
      </c>
      <c r="DS10" s="24">
        <v>0.97238278741168915</v>
      </c>
      <c r="DT10" s="24">
        <v>0.72462925268973544</v>
      </c>
      <c r="DU10" s="24">
        <v>0.90724381625441697</v>
      </c>
      <c r="DV10" s="24">
        <v>0.44203496843127732</v>
      </c>
      <c r="DW10" s="24">
        <v>0.54479584842847351</v>
      </c>
      <c r="DX10" s="24">
        <v>0.95838808585194923</v>
      </c>
      <c r="DY10" s="24">
        <v>0.74006592436865737</v>
      </c>
      <c r="DZ10" s="24">
        <v>0.8787300985456945</v>
      </c>
      <c r="EA10" s="24">
        <v>0.57104260929006212</v>
      </c>
      <c r="EB10" s="24">
        <v>0.17741935483870969</v>
      </c>
      <c r="EC10" s="24">
        <v>0.63874230430958667</v>
      </c>
      <c r="ED10" s="24">
        <v>0.69934593564047753</v>
      </c>
      <c r="EE10" s="24">
        <v>0.32235494880546073</v>
      </c>
      <c r="EF10" s="24">
        <v>0.75701580572323857</v>
      </c>
      <c r="EG10" s="24">
        <v>0.70329430008548877</v>
      </c>
      <c r="EH10" s="24">
        <v>0.97017254121919394</v>
      </c>
      <c r="EI10" s="24">
        <v>0.56193629907193587</v>
      </c>
      <c r="EJ10" s="24">
        <v>0.73743571533525987</v>
      </c>
      <c r="EK10" s="24">
        <v>0.51889302820649286</v>
      </c>
      <c r="EL10" s="24">
        <v>0.88235294117647056</v>
      </c>
      <c r="EM10" s="24">
        <v>0.91666666666666663</v>
      </c>
      <c r="EN10" s="24">
        <v>0.75</v>
      </c>
      <c r="EO10" s="24">
        <v>0.93991416309012876</v>
      </c>
      <c r="EP10" s="24">
        <v>0.84855491329479771</v>
      </c>
      <c r="EQ10" s="24">
        <v>0.8289617526976879</v>
      </c>
      <c r="ER10" s="24">
        <v>0.66335518230233514</v>
      </c>
      <c r="ES10" s="24">
        <v>0</v>
      </c>
      <c r="ET10" s="24">
        <v>0.34210526315789475</v>
      </c>
      <c r="EU10" s="24">
        <v>0.73864273696017946</v>
      </c>
      <c r="EV10" s="24">
        <v>0.89877650576340529</v>
      </c>
      <c r="EW10" s="24">
        <v>0.74094452086198992</v>
      </c>
      <c r="EX10" s="24">
        <v>0.83037853378054627</v>
      </c>
      <c r="EY10" s="24">
        <v>0.48279098873591991</v>
      </c>
      <c r="EZ10" s="24">
        <v>0.60753012514115112</v>
      </c>
      <c r="FA10" s="24">
        <v>0.91579243821727807</v>
      </c>
      <c r="FB10" s="24">
        <v>0.50976138828633411</v>
      </c>
      <c r="FC10" s="24">
        <v>0.55199856105072664</v>
      </c>
      <c r="FD10" s="24">
        <v>0.75614973262032081</v>
      </c>
      <c r="FE10" s="24">
        <v>0.51987044817927175</v>
      </c>
      <c r="FF10" s="24">
        <v>0.62373567093728932</v>
      </c>
      <c r="FG10" s="24">
        <v>0</v>
      </c>
      <c r="FH10" s="24">
        <v>0.89624967369550712</v>
      </c>
      <c r="FI10" s="24">
        <v>0</v>
      </c>
      <c r="FJ10" s="24">
        <v>0.95238095238095233</v>
      </c>
      <c r="FK10" s="24">
        <v>0.83317208016586042</v>
      </c>
      <c r="FL10" s="24">
        <v>0.35952848722986247</v>
      </c>
      <c r="FM10" s="24">
        <v>0.94358507734303909</v>
      </c>
      <c r="FN10" s="24">
        <v>0</v>
      </c>
      <c r="FO10" s="24">
        <v>0.69450800915331812</v>
      </c>
      <c r="FP10" s="24">
        <v>0.86486486486486491</v>
      </c>
      <c r="FQ10" s="24">
        <v>0.79518900343642607</v>
      </c>
      <c r="FR10" s="24">
        <v>0.92709861289143203</v>
      </c>
      <c r="FS10" s="24">
        <v>0.30902656459668287</v>
      </c>
      <c r="FT10" s="24">
        <v>0.87411347517730498</v>
      </c>
      <c r="FU10" s="24">
        <v>0.55445928222248719</v>
      </c>
      <c r="FV10" s="24">
        <v>0.88733798604187442</v>
      </c>
      <c r="FW10" s="24">
        <v>4.7628833176448756E-3</v>
      </c>
      <c r="FX10" s="24">
        <v>0.79118136439267883</v>
      </c>
      <c r="FY10" s="24">
        <v>0.55042670564383045</v>
      </c>
      <c r="FZ10" s="24">
        <v>0.62290467850888165</v>
      </c>
      <c r="GA10" s="24">
        <v>0.84686774941995357</v>
      </c>
      <c r="GB10" s="24">
        <v>0.35326240466999342</v>
      </c>
      <c r="GC10" s="24">
        <v>0.8</v>
      </c>
      <c r="GD10" s="24">
        <v>0.49260792430514488</v>
      </c>
      <c r="GE10" s="24">
        <v>0.61840949033391912</v>
      </c>
      <c r="GF10" s="24">
        <v>0.20044378698224852</v>
      </c>
    </row>
    <row r="11" spans="1:188" x14ac:dyDescent="0.25">
      <c r="A11" s="24" t="str">
        <v>Infection Rate (%)</v>
      </c>
      <c r="B11" s="24">
        <v>9.2959533622714516E-4</v>
      </c>
      <c r="C11" s="24">
        <v>1.6959342755962703E-3</v>
      </c>
      <c r="D11" s="24">
        <v>6.3681987185790017E-4</v>
      </c>
      <c r="E11" s="24">
        <v>1.1736846191671627E-2</v>
      </c>
      <c r="F11" s="24">
        <v>2.8826051468156317E-5</v>
      </c>
      <c r="G11" s="24">
        <v>8.7746148352208962E-4</v>
      </c>
      <c r="H11" s="24">
        <v>3.7008738267649026E-3</v>
      </c>
      <c r="I11" s="24">
        <v>1.2615514282118529E-2</v>
      </c>
      <c r="J11" s="24">
        <v>5.9943912897965216E-4</v>
      </c>
      <c r="K11" s="24">
        <v>2.2812877257776302E-3</v>
      </c>
      <c r="L11" s="24">
        <v>3.0001252433549336E-3</v>
      </c>
      <c r="M11" s="24">
        <v>9.7048900451201169E-4</v>
      </c>
      <c r="N11" s="24">
        <v>2.3133952746548978E-2</v>
      </c>
      <c r="O11" s="24">
        <v>1.3722964962851604E-3</v>
      </c>
      <c r="P11" s="24">
        <v>3.8272717467320317E-4</v>
      </c>
      <c r="Q11" s="24">
        <v>7.1172603326002401E-3</v>
      </c>
      <c r="R11" s="24">
        <v>5.7291500912612179E-3</v>
      </c>
      <c r="S11" s="24">
        <v>1.2050854606439174E-4</v>
      </c>
      <c r="T11" s="24">
        <v>1.4565532387489903E-4</v>
      </c>
      <c r="U11" s="24">
        <v>1.2816479662577045E-4</v>
      </c>
      <c r="V11" s="24">
        <v>6.0898532475495704E-3</v>
      </c>
      <c r="W11" s="24">
        <v>3.2019276226495663E-3</v>
      </c>
      <c r="X11" s="24">
        <v>3.1365724775314879E-4</v>
      </c>
      <c r="Y11" s="24">
        <v>1.1482144959596107E-2</v>
      </c>
      <c r="Z11" s="24">
        <v>3.2199646945715047E-4</v>
      </c>
      <c r="AA11" s="24">
        <v>1.5297743550418891E-3</v>
      </c>
      <c r="AB11" s="24">
        <v>5.2493809071044739E-5</v>
      </c>
      <c r="AC11" s="24">
        <v>6.4283418318155129E-6</v>
      </c>
      <c r="AD11" s="24">
        <v>3.1705515149197092E-5</v>
      </c>
      <c r="AE11" s="24">
        <v>4.1826796099759065E-3</v>
      </c>
      <c r="AF11" s="24">
        <v>1.349948854260776E-5</v>
      </c>
      <c r="AG11" s="24">
        <v>6.4308348118114476E-4</v>
      </c>
      <c r="AH11" s="24">
        <v>3.0829366558674672E-3</v>
      </c>
      <c r="AI11" s="24">
        <v>9.5064815228229974E-4</v>
      </c>
      <c r="AJ11" s="24">
        <v>5.3527848037110008E-5</v>
      </c>
      <c r="AK11" s="24">
        <v>1.8184907639424697E-2</v>
      </c>
      <c r="AL11" s="24">
        <v>6.1470681293536756E-5</v>
      </c>
      <c r="AM11" s="24">
        <v>5.0475042711222119E-3</v>
      </c>
      <c r="AN11" s="24">
        <v>4.0627732903643414E-4</v>
      </c>
      <c r="AO11" s="24">
        <v>5.7860890124701071E-4</v>
      </c>
      <c r="AP11" s="24">
        <v>9.2051576402501362E-5</v>
      </c>
      <c r="AQ11" s="24">
        <v>3.1068520984637352E-3</v>
      </c>
      <c r="AR11" s="24">
        <v>5.9815833715421058E-4</v>
      </c>
      <c r="AS11" s="24">
        <v>1.1897400097548444E-3</v>
      </c>
      <c r="AT11" s="24">
        <v>2.2355841244920161E-4</v>
      </c>
      <c r="AU11" s="24">
        <v>8.7731059609116749E-4</v>
      </c>
      <c r="AV11" s="24">
        <v>1.4486016689915311E-3</v>
      </c>
      <c r="AW11" s="24">
        <v>2.3749287875160997E-3</v>
      </c>
      <c r="AX11" s="24">
        <v>5.1132671037723357E-3</v>
      </c>
      <c r="AY11" s="24">
        <v>2.4998611188267316E-4</v>
      </c>
      <c r="AZ11" s="24">
        <v>5.9082861881147638E-3</v>
      </c>
      <c r="BA11" s="24">
        <v>4.5934579460410038E-3</v>
      </c>
      <c r="BB11" s="24">
        <v>9.0211797561417541E-4</v>
      </c>
      <c r="BC11" s="24">
        <v>2.3168144794818227E-3</v>
      </c>
      <c r="BD11" s="24">
        <v>2.1826565865980196E-3</v>
      </c>
      <c r="BE11" s="24">
        <v>7.4623188099713479E-5</v>
      </c>
      <c r="BF11" s="24">
        <v>1.5332116714042456E-3</v>
      </c>
      <c r="BG11" s="24">
        <v>1.9942342863637774E-3</v>
      </c>
      <c r="BH11" s="24">
        <v>1.2625002890029533E-4</v>
      </c>
      <c r="BI11" s="24">
        <v>3.0097146901944609E-5</v>
      </c>
      <c r="BJ11" s="24">
        <v>1.334992540066017E-3</v>
      </c>
      <c r="BK11" s="24">
        <v>3.3750607650932158E-3</v>
      </c>
      <c r="BL11" s="24">
        <v>3.2229531288737417E-3</v>
      </c>
      <c r="BM11" s="24">
        <v>1.345576150116768E-4</v>
      </c>
      <c r="BN11" s="24">
        <v>2.8507900976038319E-4</v>
      </c>
      <c r="BO11" s="24">
        <v>2.4711715347078664E-3</v>
      </c>
      <c r="BP11" s="24">
        <v>1.0799948081620036E-3</v>
      </c>
      <c r="BQ11" s="24">
        <v>4.0575280103339776E-4</v>
      </c>
      <c r="BR11" s="24">
        <v>2.4656569214512151E-4</v>
      </c>
      <c r="BS11" s="24">
        <v>2.0430642410460489E-4</v>
      </c>
      <c r="BT11" s="24">
        <v>2.5246144194604318E-3</v>
      </c>
      <c r="BU11" s="24">
        <v>5.3589448613567661E-4</v>
      </c>
      <c r="BV11" s="24">
        <v>9.907330461187754E-4</v>
      </c>
      <c r="BW11" s="24">
        <v>4.943222828794209E-4</v>
      </c>
      <c r="BX11" s="24">
        <v>6.4295145199723587E-4</v>
      </c>
      <c r="BY11" s="24">
        <v>2.2727272727272728E-2</v>
      </c>
      <c r="BZ11" s="24">
        <v>3.9693034936582631E-3</v>
      </c>
      <c r="CA11" s="24">
        <v>4.6056109138896753E-4</v>
      </c>
      <c r="CB11" s="24">
        <v>5.4295462199639788E-3</v>
      </c>
      <c r="CC11" s="24">
        <v>1.0714723716482247E-3</v>
      </c>
      <c r="CD11" s="24">
        <v>3.6632555035343787E-4</v>
      </c>
      <c r="CE11" s="24">
        <v>3.4912520654715772E-3</v>
      </c>
      <c r="CF11" s="24">
        <v>2.7932548545781927E-3</v>
      </c>
      <c r="CG11" s="24">
        <v>5.2379025732319142E-3</v>
      </c>
      <c r="CH11" s="24">
        <v>6.9567136608611607E-3</v>
      </c>
      <c r="CI11" s="24">
        <v>4.0740370202304726E-3</v>
      </c>
      <c r="CJ11" s="24">
        <v>2.8793462770018881E-4</v>
      </c>
      <c r="CK11" s="24">
        <v>2.4630670639094564E-4</v>
      </c>
      <c r="CL11" s="24">
        <v>1.1514580533426651E-4</v>
      </c>
      <c r="CM11" s="24">
        <v>4.5028724643082409E-3</v>
      </c>
      <c r="CN11" s="24">
        <v>3.3360454748932648E-4</v>
      </c>
      <c r="CO11" s="24">
        <v>4.1409891450558392E-3</v>
      </c>
      <c r="CP11" s="24">
        <v>1.5053576881761413E-2</v>
      </c>
      <c r="CQ11" s="24">
        <v>5.0954330100379842E-3</v>
      </c>
      <c r="CR11" s="24">
        <v>2.7450845829187114E-6</v>
      </c>
      <c r="CS11" s="24">
        <v>6.4704958130212494E-4</v>
      </c>
      <c r="CT11" s="24">
        <v>5.6902298665243865E-4</v>
      </c>
      <c r="CU11" s="24">
        <v>2.3554730699463559E-4</v>
      </c>
      <c r="CV11" s="24">
        <v>2.3024027456793942E-4</v>
      </c>
      <c r="CW11" s="24">
        <v>4.1088008129815432E-4</v>
      </c>
      <c r="CX11" s="24">
        <v>2.2549096725136999E-3</v>
      </c>
      <c r="CY11" s="24">
        <v>7.4279253940497862E-4</v>
      </c>
      <c r="CZ11" s="24">
        <v>1.0082111549209509E-2</v>
      </c>
      <c r="DA11" s="24">
        <v>3.491173779461868E-4</v>
      </c>
      <c r="DB11" s="24">
        <v>1.910837426066524E-4</v>
      </c>
      <c r="DC11" s="24">
        <v>2.7476077852837093E-4</v>
      </c>
      <c r="DD11" s="24">
        <v>6.2222041636500643E-3</v>
      </c>
      <c r="DE11" s="24">
        <v>1.2377541514880066E-4</v>
      </c>
      <c r="DF11" s="24">
        <v>1.5871829879342395E-3</v>
      </c>
      <c r="DG11" s="24">
        <v>1.3319807549378553E-3</v>
      </c>
      <c r="DH11" s="24">
        <v>2.7044344076384549E-4</v>
      </c>
      <c r="DI11" s="24">
        <v>3.0642346529872739E-3</v>
      </c>
      <c r="DJ11" s="24">
        <v>5.7411598313208854E-3</v>
      </c>
      <c r="DK11" s="24">
        <v>2.9539088362617776E-3</v>
      </c>
      <c r="DL11" s="24">
        <v>8.8020018615167948E-5</v>
      </c>
      <c r="DM11" s="24">
        <v>4.6061451357642573E-3</v>
      </c>
      <c r="DN11" s="24">
        <v>5.6522601910153822E-4</v>
      </c>
      <c r="DO11" s="24">
        <v>5.4286144854583022E-5</v>
      </c>
      <c r="DP11" s="24">
        <v>7.2408991758811663E-4</v>
      </c>
      <c r="DQ11" s="24">
        <v>6.4248913007204774E-4</v>
      </c>
      <c r="DR11" s="24">
        <v>3.1165039049508613E-3</v>
      </c>
      <c r="DS11" s="24">
        <v>3.112692669078987E-4</v>
      </c>
      <c r="DT11" s="24">
        <v>5.1852587872344626E-4</v>
      </c>
      <c r="DU11" s="24">
        <v>4.6619983260460779E-5</v>
      </c>
      <c r="DV11" s="24">
        <v>1.9931628415977636E-4</v>
      </c>
      <c r="DW11" s="24">
        <v>4.9021654870845966E-3</v>
      </c>
      <c r="DX11" s="24">
        <v>1.6831718389057834E-3</v>
      </c>
      <c r="DY11" s="24">
        <v>1.5054960040606075E-2</v>
      </c>
      <c r="DZ11" s="24">
        <v>1.2394674313166406E-3</v>
      </c>
      <c r="EA11" s="24">
        <v>1.2018371235089998E-2</v>
      </c>
      <c r="EB11" s="24">
        <v>6.9173198420307291E-6</v>
      </c>
      <c r="EC11" s="24">
        <v>6.368774743243014E-4</v>
      </c>
      <c r="ED11" s="24">
        <v>1.180376891803111E-2</v>
      </c>
      <c r="EE11" s="24">
        <v>7.4770294381786148E-4</v>
      </c>
      <c r="EF11" s="24">
        <v>1.1469175421727779E-3</v>
      </c>
      <c r="EG11" s="24">
        <v>4.9343739739265632E-3</v>
      </c>
      <c r="EH11" s="24">
        <v>3.9032981278970584E-2</v>
      </c>
      <c r="EI11" s="24">
        <v>2.3877416293145303E-3</v>
      </c>
      <c r="EJ11" s="24">
        <v>5.5959629253820543E-3</v>
      </c>
      <c r="EK11" s="24">
        <v>1.4474393111575461E-4</v>
      </c>
      <c r="EL11" s="24">
        <v>3.1932678400360654E-4</v>
      </c>
      <c r="EM11" s="24">
        <v>1.306392614527086E-4</v>
      </c>
      <c r="EN11" s="24">
        <v>5.0000000000000001E-4</v>
      </c>
      <c r="EO11" s="24">
        <v>2.0596381637102954E-2</v>
      </c>
      <c r="EP11" s="24">
        <v>3.9399846955507781E-3</v>
      </c>
      <c r="EQ11" s="24">
        <v>7.7133776396371484E-3</v>
      </c>
      <c r="ER11" s="24">
        <v>5.8174878188156404E-4</v>
      </c>
      <c r="ES11" s="24">
        <v>2.7641316675187334E-3</v>
      </c>
      <c r="ET11" s="24">
        <v>1.158442403056662E-3</v>
      </c>
      <c r="EU11" s="24">
        <v>2.230933805328691E-4</v>
      </c>
      <c r="EV11" s="24">
        <v>8.6829360272672688E-3</v>
      </c>
      <c r="EW11" s="24">
        <v>3.994567680998697E-4</v>
      </c>
      <c r="EX11" s="24">
        <v>1.0038634553297598E-3</v>
      </c>
      <c r="EY11" s="24">
        <v>2.0058981942648382E-4</v>
      </c>
      <c r="EZ11" s="24">
        <v>7.6206983157028904E-3</v>
      </c>
      <c r="FA11" s="24">
        <v>2.7700343715959667E-4</v>
      </c>
      <c r="FB11" s="24">
        <v>2.0568287965311784E-4</v>
      </c>
      <c r="FC11" s="24">
        <v>5.8263586388827534E-3</v>
      </c>
      <c r="FD11" s="24">
        <v>1.3093794232400704E-4</v>
      </c>
      <c r="FE11" s="24">
        <v>2.5996997601649536E-4</v>
      </c>
      <c r="FF11" s="24">
        <v>2.5257428204525558E-3</v>
      </c>
      <c r="FG11" s="24">
        <v>7.8565381002763217E-3</v>
      </c>
      <c r="FH11" s="24">
        <v>3.9807402234765879E-3</v>
      </c>
      <c r="FI11" s="24">
        <v>3.8427330155761816E-5</v>
      </c>
      <c r="FJ11" s="24">
        <v>1.9394489756791838E-5</v>
      </c>
      <c r="FK11" s="24">
        <v>7.569996572313922E-4</v>
      </c>
      <c r="FL11" s="24">
        <v>8.4994279918358071E-6</v>
      </c>
      <c r="FM11" s="24">
        <v>4.7222850921283877E-5</v>
      </c>
      <c r="FN11" s="24">
        <v>1.8170640484792688E-5</v>
      </c>
      <c r="FO11" s="24">
        <v>1.0534458648151732E-4</v>
      </c>
      <c r="FP11" s="24">
        <v>1.0571806135933426E-4</v>
      </c>
      <c r="FQ11" s="24">
        <v>1.2298406506879795E-4</v>
      </c>
      <c r="FR11" s="24">
        <v>2.6888959820844972E-3</v>
      </c>
      <c r="FS11" s="24">
        <v>1.2953753694201112E-2</v>
      </c>
      <c r="FT11" s="24">
        <v>2.4592387714166339E-5</v>
      </c>
      <c r="FU11" s="24">
        <v>1.5351717840661086E-3</v>
      </c>
      <c r="FV11" s="24">
        <v>5.9762197413290681E-3</v>
      </c>
      <c r="FW11" s="24">
        <v>4.4419756659507328E-3</v>
      </c>
      <c r="FX11" s="24">
        <v>3.4590366036289381E-4</v>
      </c>
      <c r="FY11" s="24">
        <v>6.3280173392866643E-4</v>
      </c>
      <c r="FZ11" s="24">
        <v>5.624131760588577E-4</v>
      </c>
      <c r="GA11" s="24">
        <v>4.4238944908348918E-6</v>
      </c>
      <c r="GB11" s="24">
        <v>2.2127083333333335E-3</v>
      </c>
      <c r="GC11" s="24">
        <v>1.6703358377235327E-5</v>
      </c>
      <c r="GD11" s="24">
        <v>5.6579978844909859E-5</v>
      </c>
      <c r="GE11" s="24">
        <v>2.4698687676033088E-4</v>
      </c>
      <c r="GF11" s="24">
        <v>1.8167399823821909E-4</v>
      </c>
    </row>
    <row r="12" spans="1:188" x14ac:dyDescent="0.25">
      <c r="A12" s="24" t="str">
        <v>Risk Impact</v>
      </c>
      <c r="B12" s="24" t="str">
        <v>Modrate Risk</v>
      </c>
      <c r="C12" s="24" t="str">
        <v>Modrate Risk</v>
      </c>
      <c r="D12" s="24" t="str">
        <v>Modrate Risk</v>
      </c>
      <c r="E12" s="24" t="str">
        <v>High Risk</v>
      </c>
      <c r="F12" s="24" t="str">
        <v>Modrate Risk</v>
      </c>
      <c r="G12" s="24" t="str">
        <v>Modrate Risk</v>
      </c>
      <c r="H12" s="24" t="str">
        <v>Low Risk</v>
      </c>
      <c r="I12" s="24" t="str">
        <v>Low Risk</v>
      </c>
      <c r="J12" s="24" t="str">
        <v>Low Risk</v>
      </c>
      <c r="K12" s="24" t="str">
        <v>Modrate Risk</v>
      </c>
      <c r="L12" s="24" t="str">
        <v>Low Risk</v>
      </c>
      <c r="M12" s="24" t="str">
        <v>Modrate Risk</v>
      </c>
      <c r="N12" s="24" t="str">
        <v>Low Risk</v>
      </c>
      <c r="O12" s="24" t="str">
        <v>Low Risk</v>
      </c>
      <c r="P12" s="24" t="str">
        <v>High Risk</v>
      </c>
      <c r="Q12" s="24" t="str">
        <v>Low Risk</v>
      </c>
      <c r="R12" s="24" t="str">
        <v>High Risk</v>
      </c>
      <c r="S12" s="24" t="str">
        <v>Modrate Risk</v>
      </c>
      <c r="T12" s="24" t="str">
        <v>Low Risk</v>
      </c>
      <c r="U12" s="24" t="str">
        <v>Low Risk</v>
      </c>
      <c r="V12" s="24" t="str">
        <v>Modrate Risk</v>
      </c>
      <c r="W12" s="24" t="str">
        <v>Modrate Risk</v>
      </c>
      <c r="X12" s="24" t="str">
        <v>Low Risk</v>
      </c>
      <c r="Y12" s="24" t="str">
        <v>Modrate Risk</v>
      </c>
      <c r="Z12" s="24" t="str">
        <v>Modrate Risk</v>
      </c>
      <c r="AA12" s="24" t="str">
        <v>Modrate Risk</v>
      </c>
      <c r="AB12" s="24" t="str">
        <v>Modrate Risk</v>
      </c>
      <c r="AC12" s="24" t="str">
        <v>Low Risk</v>
      </c>
      <c r="AD12" s="24" t="str">
        <v>Low Risk</v>
      </c>
      <c r="AE12" s="24" t="str">
        <v>Low Risk</v>
      </c>
      <c r="AF12" s="24" t="str">
        <v>Low Risk</v>
      </c>
      <c r="AG12" s="24" t="str">
        <v>Modrate Risk</v>
      </c>
      <c r="AH12" s="24" t="str">
        <v>High Risk</v>
      </c>
      <c r="AI12" s="24" t="str">
        <v>Low Risk</v>
      </c>
      <c r="AJ12" s="24" t="str">
        <v>High Risk</v>
      </c>
      <c r="AK12" s="24" t="str">
        <v>Modrate Risk</v>
      </c>
      <c r="AL12" s="24" t="str">
        <v>High Risk</v>
      </c>
      <c r="AM12" s="24" t="str">
        <v>Modrate Risk</v>
      </c>
      <c r="AN12" s="24" t="str">
        <v>Low Risk</v>
      </c>
      <c r="AO12" s="24" t="str">
        <v>Low Risk</v>
      </c>
      <c r="AP12" s="24" t="str">
        <v>Modrate Risk</v>
      </c>
      <c r="AQ12" s="24" t="str">
        <v>Low Risk</v>
      </c>
      <c r="AR12" s="24" t="str">
        <v>Low Risk</v>
      </c>
      <c r="AS12" s="24" t="str">
        <v>Modrate Risk</v>
      </c>
      <c r="AT12" s="24" t="str">
        <v>Modrate Risk</v>
      </c>
      <c r="AU12" s="24" t="str">
        <v>Low Risk</v>
      </c>
      <c r="AV12" s="24" t="str">
        <v>Modrate Risk</v>
      </c>
      <c r="AW12" s="24" t="str">
        <v>Modrate Risk</v>
      </c>
      <c r="AX12" s="24" t="str">
        <v>Low Risk</v>
      </c>
      <c r="AY12" s="24" t="str">
        <v>Low Risk</v>
      </c>
      <c r="AZ12" s="24" t="str">
        <v>Low Risk</v>
      </c>
      <c r="BA12" s="24" t="str">
        <v>High Risk</v>
      </c>
      <c r="BB12" s="24" t="str">
        <v>High Risk</v>
      </c>
      <c r="BC12" s="24" t="str">
        <v>Modrate Risk</v>
      </c>
      <c r="BD12" s="24" t="str">
        <v>Low Risk</v>
      </c>
      <c r="BE12" s="24" t="str">
        <v>Low Risk</v>
      </c>
      <c r="BF12" s="24" t="str">
        <v>Modrate Risk</v>
      </c>
      <c r="BG12" s="24" t="str">
        <v>Low Risk</v>
      </c>
      <c r="BH12" s="24" t="str">
        <v>Low Risk</v>
      </c>
      <c r="BI12" s="24" t="str">
        <v>Low Risk</v>
      </c>
      <c r="BJ12" s="24" t="str">
        <v>Modrate Risk</v>
      </c>
      <c r="BK12" s="24" t="str">
        <v>High Risk</v>
      </c>
      <c r="BL12" s="24" t="str">
        <v>Low Risk</v>
      </c>
      <c r="BM12" s="24" t="str">
        <v>Modrate Risk</v>
      </c>
      <c r="BN12" s="24" t="str">
        <v>Low Risk</v>
      </c>
      <c r="BO12" s="24" t="str">
        <v>Modrate Risk</v>
      </c>
      <c r="BP12" s="24" t="str">
        <v>Low Risk</v>
      </c>
      <c r="BQ12" s="24" t="str">
        <v>Modrate Risk</v>
      </c>
      <c r="BR12" s="24" t="str">
        <v>Low Risk</v>
      </c>
      <c r="BS12" s="24" t="str">
        <v>Low Risk</v>
      </c>
      <c r="BT12" s="24" t="str">
        <v>Modrate Risk</v>
      </c>
      <c r="BU12" s="24" t="str">
        <v>Low Risk</v>
      </c>
      <c r="BV12" s="24" t="str">
        <v>Low Risk</v>
      </c>
      <c r="BW12" s="24" t="str">
        <v>High Risk</v>
      </c>
      <c r="BX12" s="24" t="str">
        <v>Modrate Risk</v>
      </c>
      <c r="BY12" s="24" t="str">
        <v>Low Risk</v>
      </c>
      <c r="BZ12" s="24" t="str">
        <v>Modrate Risk</v>
      </c>
      <c r="CA12" s="24" t="str">
        <v>High Risk</v>
      </c>
      <c r="CB12" s="24" t="str">
        <v>Low Risk</v>
      </c>
      <c r="CC12" s="24" t="str">
        <v>Modrate Risk</v>
      </c>
      <c r="CD12" s="24" t="str">
        <v>Modrate Risk</v>
      </c>
      <c r="CE12" s="24" t="str">
        <v>High Risk</v>
      </c>
      <c r="CF12" s="24" t="str">
        <v>Modrate Risk</v>
      </c>
      <c r="CG12" s="24" t="str">
        <v>High Risk</v>
      </c>
      <c r="CH12" s="24" t="str">
        <v>Low Risk</v>
      </c>
      <c r="CI12" s="24" t="str">
        <v>High Risk</v>
      </c>
      <c r="CJ12" s="24" t="str">
        <v>Low Risk</v>
      </c>
      <c r="CK12" s="24" t="str">
        <v>Modrate Risk</v>
      </c>
      <c r="CL12" s="24" t="str">
        <v>Low Risk</v>
      </c>
      <c r="CM12" s="24" t="str">
        <v>Low Risk</v>
      </c>
      <c r="CN12" s="24" t="str">
        <v>Low Risk</v>
      </c>
      <c r="CO12" s="24" t="str">
        <v>Modrate Risk</v>
      </c>
      <c r="CP12" s="24" t="str">
        <v>Low Risk</v>
      </c>
      <c r="CQ12" s="24" t="str">
        <v>Modrate Risk</v>
      </c>
      <c r="CR12" s="24" t="str">
        <v>Low Risk</v>
      </c>
      <c r="CS12" s="24" t="str">
        <v>Modrate Risk</v>
      </c>
      <c r="CT12" s="24" t="str">
        <v>Low Risk</v>
      </c>
      <c r="CU12" s="24" t="str">
        <v>Modrate Risk</v>
      </c>
      <c r="CV12" s="24" t="str">
        <v>High Risk</v>
      </c>
      <c r="CW12" s="24" t="str">
        <v>Modrate Risk</v>
      </c>
      <c r="CX12" s="24" t="str">
        <v>Low Risk</v>
      </c>
      <c r="CY12" s="24" t="str">
        <v>Modrate Risk</v>
      </c>
      <c r="CZ12" s="24" t="str">
        <v>Low Risk</v>
      </c>
      <c r="DA12" s="24" t="str">
        <v>Low Risk</v>
      </c>
      <c r="DB12" s="24" t="str">
        <v>Modrate Risk</v>
      </c>
      <c r="DC12" s="24" t="str">
        <v>Low Risk</v>
      </c>
      <c r="DD12" s="24" t="str">
        <v>Low Risk</v>
      </c>
      <c r="DE12" s="24" t="str">
        <v>Modrate Risk</v>
      </c>
      <c r="DF12" s="24" t="str">
        <v>Low Risk</v>
      </c>
      <c r="DG12" s="24" t="str">
        <v>Modrate Risk</v>
      </c>
      <c r="DH12" s="24" t="str">
        <v>Modrate Risk</v>
      </c>
      <c r="DI12" s="24" t="str">
        <v>High Risk</v>
      </c>
      <c r="DJ12" s="24" t="str">
        <v>Modrate Risk</v>
      </c>
      <c r="DK12" s="24" t="str">
        <v>Modrate Risk</v>
      </c>
      <c r="DL12" s="24" t="str">
        <v>Low Risk</v>
      </c>
      <c r="DM12" s="24" t="str">
        <v>Low Risk</v>
      </c>
      <c r="DN12" s="24" t="str">
        <v>Low Risk</v>
      </c>
      <c r="DO12" s="24" t="str">
        <v>Low Risk</v>
      </c>
      <c r="DP12" s="24" t="str">
        <v>Low Risk</v>
      </c>
      <c r="DQ12" s="24" t="str">
        <v>Low Risk</v>
      </c>
      <c r="DR12" s="24" t="str">
        <v>High Risk</v>
      </c>
      <c r="DS12" s="24" t="str">
        <v>Low Risk</v>
      </c>
      <c r="DT12" s="24" t="str">
        <v>Modrate Risk</v>
      </c>
      <c r="DU12" s="24" t="str">
        <v>High Risk</v>
      </c>
      <c r="DV12" s="24" t="str">
        <v>Modrate Risk</v>
      </c>
      <c r="DW12" s="24" t="str">
        <v>Modrate Risk</v>
      </c>
      <c r="DX12" s="24" t="str">
        <v>Modrate Risk</v>
      </c>
      <c r="DY12" s="24" t="str">
        <v>Low Risk</v>
      </c>
      <c r="DZ12" s="24" t="str">
        <v>Modrate Risk</v>
      </c>
      <c r="EA12" s="24" t="str">
        <v>Modrate Risk</v>
      </c>
      <c r="EB12" s="24" t="str">
        <v>Low Risk</v>
      </c>
      <c r="EC12" s="24" t="str">
        <v>Low Risk</v>
      </c>
      <c r="ED12" s="24" t="str">
        <v>Modrate Risk</v>
      </c>
      <c r="EE12" s="24" t="str">
        <v>Modrate Risk</v>
      </c>
      <c r="EF12" s="24" t="str">
        <v>Modrate Risk</v>
      </c>
      <c r="EG12" s="24" t="str">
        <v>Modrate Risk</v>
      </c>
      <c r="EH12" s="24" t="str">
        <v>Low Risk</v>
      </c>
      <c r="EI12" s="24" t="str">
        <v>Modrate Risk</v>
      </c>
      <c r="EJ12" s="24" t="str">
        <v>Low Risk</v>
      </c>
      <c r="EK12" s="24" t="str">
        <v>Low Risk</v>
      </c>
      <c r="EL12" s="24" t="str">
        <v>Low Risk</v>
      </c>
      <c r="EM12" s="24" t="str">
        <v>Low Risk</v>
      </c>
      <c r="EN12" s="24" t="str">
        <v>Low Risk</v>
      </c>
      <c r="EO12" s="24" t="str">
        <v>High Risk</v>
      </c>
      <c r="EP12" s="24" t="str">
        <v>Low Risk</v>
      </c>
      <c r="EQ12" s="24" t="str">
        <v>Low Risk</v>
      </c>
      <c r="ER12" s="24" t="str">
        <v>Low Risk</v>
      </c>
      <c r="ES12" s="24" t="str">
        <v>Modrate Risk</v>
      </c>
      <c r="ET12" s="24" t="str">
        <v>Low Risk</v>
      </c>
      <c r="EU12" s="24" t="str">
        <v>Modrate Risk</v>
      </c>
      <c r="EV12" s="24" t="str">
        <v>Low Risk</v>
      </c>
      <c r="EW12" s="24" t="str">
        <v>Low Risk</v>
      </c>
      <c r="EX12" s="24" t="str">
        <v>High Risk</v>
      </c>
      <c r="EY12" s="24" t="str">
        <v>Modrate Risk</v>
      </c>
      <c r="EZ12" s="24" t="str">
        <v>Low Risk</v>
      </c>
      <c r="FA12" s="24" t="str">
        <v>Modrate Risk</v>
      </c>
      <c r="FB12" s="24" t="str">
        <v>Low Risk</v>
      </c>
      <c r="FC12" s="24" t="str">
        <v>High Risk</v>
      </c>
      <c r="FD12" s="24" t="str">
        <v>Low Risk</v>
      </c>
      <c r="FE12" s="24" t="str">
        <v>High Risk</v>
      </c>
      <c r="FF12" s="24" t="str">
        <v>Low Risk</v>
      </c>
      <c r="FG12" s="24" t="str">
        <v>High Risk</v>
      </c>
      <c r="FH12" s="24" t="str">
        <v>High Risk</v>
      </c>
      <c r="FI12" s="24" t="str">
        <v>High Risk</v>
      </c>
      <c r="FJ12" s="24" t="str">
        <v>Low Risk</v>
      </c>
      <c r="FK12" s="24" t="str">
        <v>Low Risk</v>
      </c>
      <c r="FL12" s="24" t="str">
        <v>Modrate Risk</v>
      </c>
      <c r="FM12" s="24" t="str">
        <v>Low Risk</v>
      </c>
      <c r="FN12" s="24" t="str">
        <v>Low Risk</v>
      </c>
      <c r="FO12" s="24" t="str">
        <v>Modrate Risk</v>
      </c>
      <c r="FP12" s="24" t="str">
        <v>High Risk</v>
      </c>
      <c r="FQ12" s="24" t="str">
        <v>Modrate Risk</v>
      </c>
      <c r="FR12" s="24" t="str">
        <v>Modrate Risk</v>
      </c>
      <c r="FS12" s="24" t="str">
        <v>Modrate Risk</v>
      </c>
      <c r="FT12" s="24" t="str">
        <v>Low Risk</v>
      </c>
      <c r="FU12" s="24" t="str">
        <v>Modrate Risk</v>
      </c>
      <c r="FV12" s="24" t="str">
        <v>Low Risk</v>
      </c>
      <c r="FW12" s="24" t="str">
        <v>High Risk</v>
      </c>
      <c r="FX12" s="24" t="str">
        <v>Modrate Risk</v>
      </c>
      <c r="FY12" s="24" t="str">
        <v>Low Risk</v>
      </c>
      <c r="FZ12" s="24" t="str">
        <v>Low Risk</v>
      </c>
      <c r="GA12" s="24" t="str">
        <v>Low Risk</v>
      </c>
      <c r="GB12" s="24" t="str">
        <v>Low Risk</v>
      </c>
      <c r="GC12" s="24" t="str">
        <v>High Risk</v>
      </c>
      <c r="GD12" s="24" t="str">
        <v>High Risk</v>
      </c>
      <c r="GE12" s="24" t="str">
        <v>Modrate Risk</v>
      </c>
      <c r="GF12" s="24" t="str">
        <v>Low Risk</v>
      </c>
    </row>
    <row r="14" spans="1:188" x14ac:dyDescent="0.25">
      <c r="B14" s="25" t="s">
        <v>0</v>
      </c>
      <c r="C14" t="s">
        <v>15</v>
      </c>
    </row>
    <row r="15" spans="1:188" x14ac:dyDescent="0.25">
      <c r="B15" s="25" t="s">
        <v>193</v>
      </c>
      <c r="C15" t="str">
        <f>HLOOKUP(C14,_xlfn.ANCHORARRAY(A1),7,0)</f>
        <v>Asia</v>
      </c>
    </row>
  </sheetData>
  <dataValidations count="1">
    <dataValidation type="list" allowBlank="1" showInputMessage="1" showErrorMessage="1" sqref="C14" xr:uid="{7F991BDE-0488-406D-B212-3818880F3A9F}">
      <formula1>$B$1:$GF$1</formula1>
    </dataValidation>
  </dataValidation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vt:lpstr>
      <vt:lpstr>Sheet1</vt:lpstr>
      <vt:lpstr>Dashboard</vt:lpstr>
      <vt:lpstr>Cloumn Chart</vt:lpstr>
      <vt:lpstr>Line Chart</vt:lpstr>
      <vt:lpstr>Pie Chart</vt:lpstr>
      <vt:lpstr>Combo Chart</vt:lpstr>
      <vt:lpstr>Hlookup</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Mrinal Das</dc:creator>
  <cp:lastModifiedBy>Manish Sharma</cp:lastModifiedBy>
  <dcterms:created xsi:type="dcterms:W3CDTF">2025-07-17T13:38:16Z</dcterms:created>
  <dcterms:modified xsi:type="dcterms:W3CDTF">2026-02-23T13:59:29Z</dcterms:modified>
</cp:coreProperties>
</file>